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4" sheetId="2" r:id="rId6"/>
  </sheets>
  <definedNames/>
  <calcPr/>
</workbook>
</file>

<file path=xl/sharedStrings.xml><?xml version="1.0" encoding="utf-8"?>
<sst xmlns="http://schemas.openxmlformats.org/spreadsheetml/2006/main" count="3451" uniqueCount="1606">
  <si>
    <t>Type</t>
  </si>
  <si>
    <t>AGENT_CODE</t>
  </si>
  <si>
    <t>AGENT_NAME</t>
  </si>
  <si>
    <t>HOD NAME</t>
  </si>
  <si>
    <t>Checker</t>
  </si>
  <si>
    <t>Links</t>
  </si>
  <si>
    <t>Pages</t>
  </si>
  <si>
    <t>Remarks</t>
  </si>
  <si>
    <t>Corporate Agent Others</t>
  </si>
  <si>
    <t>3A60012354</t>
  </si>
  <si>
    <t>ARYAVART BANK</t>
  </si>
  <si>
    <t>Ganesh SS</t>
  </si>
  <si>
    <t>Neetu</t>
  </si>
  <si>
    <t>Website Error</t>
  </si>
  <si>
    <t>Corporate Agent Bank</t>
  </si>
  <si>
    <t>BANDHAN BANK LIMITED</t>
  </si>
  <si>
    <t>Manoj Gupta</t>
  </si>
  <si>
    <r>
      <rPr>
        <rFont val="Rubik"/>
        <color rgb="FF1155CC"/>
        <u/>
      </rPr>
      <t>https://bandhan.bank.in/personal/life-insurance</t>
    </r>
  </si>
  <si>
    <t>The Karur Vysya Bank Ltd</t>
  </si>
  <si>
    <r>
      <rPr>
        <rFont val="Rubik"/>
        <color rgb="FF1155CC"/>
        <u/>
      </rPr>
      <t>https://www.kvb.bank.in/personal/insurance-personal/personal-life-insurance/</t>
    </r>
  </si>
  <si>
    <t>City Union Bank Limited</t>
  </si>
  <si>
    <r>
      <rPr>
        <rFont val="Rubik"/>
        <color rgb="FF1155CC"/>
        <u/>
      </rPr>
      <t>https://cityunionbank.bank.in/</t>
    </r>
  </si>
  <si>
    <t>Tamilnad Mercantile Bank Limited</t>
  </si>
  <si>
    <r>
      <rPr>
        <rFont val="Rubik"/>
        <color rgb="FF1155CC"/>
        <u/>
      </rPr>
      <t>https://www.tmb.bank.in/pages/Life-Insurance</t>
    </r>
  </si>
  <si>
    <t>Equitas Small Finance Bank Limited</t>
  </si>
  <si>
    <r>
      <rPr>
        <rFont val="Rubik"/>
        <color rgb="FF1155CC"/>
        <u/>
      </rPr>
      <t>https://equitas.bank.in/personal-banking/insure/insurance/life-insurance/</t>
    </r>
  </si>
  <si>
    <t>Fincharts Insurance Corporate Agency Private Limited</t>
  </si>
  <si>
    <t>Aditi</t>
  </si>
  <si>
    <r>
      <rPr>
        <rFont val="Rubik"/>
        <color rgb="FF1155CC"/>
        <u/>
      </rPr>
      <t>https://www.fincharts.co.in/</t>
    </r>
  </si>
  <si>
    <t>TOYOTA TSUSHO INSURANCE BROKER (INDIA) PVT LTD</t>
  </si>
  <si>
    <t>NA</t>
  </si>
  <si>
    <t>Dolphin Insurance Broking Services Private Limited</t>
  </si>
  <si>
    <r>
      <rPr>
        <rFont val="Rubik"/>
        <color rgb="FF1155CC"/>
        <u/>
      </rPr>
      <t>https://dolphininsurance.in/our-partner/</t>
    </r>
  </si>
  <si>
    <t>Baid Solutions Insurance Broking Private Limited</t>
  </si>
  <si>
    <t>Crc Insurance Broking Private Limited</t>
  </si>
  <si>
    <r>
      <rPr>
        <rFont val="Rubik"/>
        <color rgb="FF1155CC"/>
        <u/>
      </rPr>
      <t>https://www.crci.in/</t>
    </r>
  </si>
  <si>
    <t>Premium Insurance Brokers Private Limited</t>
  </si>
  <si>
    <t>site not found</t>
  </si>
  <si>
    <t>INFINA INSURANCE BROKING PVT. LTD.</t>
  </si>
  <si>
    <r>
      <rPr>
        <rFont val="Rubik"/>
        <color rgb="FF1155CC"/>
        <u/>
      </rPr>
      <t>https://www.infinainsure.com/index.html</t>
    </r>
  </si>
  <si>
    <t>SAMYAG INSURANCE BROKING LLP</t>
  </si>
  <si>
    <r>
      <rPr>
        <rFont val="Rubik"/>
        <color rgb="FF1155CC"/>
        <u/>
      </rPr>
      <t>https://www.samyagbroking.com/</t>
    </r>
  </si>
  <si>
    <t>Asas Aviation Private Limited</t>
  </si>
  <si>
    <t>Ensign Insurance Brokers Private Limited</t>
  </si>
  <si>
    <r>
      <rPr>
        <rFont val="Rubik"/>
        <color rgb="FF1155CC"/>
        <u/>
      </rPr>
      <t>https://ensigninsuranceltd.com/</t>
    </r>
  </si>
  <si>
    <t>PIONEER INSURANCE &amp; REINSURANCE BROKERS PVT LTD</t>
  </si>
  <si>
    <r>
      <rPr>
        <rFont val="Rubik"/>
        <color rgb="FF1155CC"/>
        <u/>
      </rPr>
      <t>https://www.pincinsurance.com/</t>
    </r>
  </si>
  <si>
    <t>Clarion Insurance Broking Services Private Limited</t>
  </si>
  <si>
    <r>
      <rPr>
        <rFont val="Rubik"/>
        <color rgb="FF1155CC"/>
        <u/>
      </rPr>
      <t>https://pos.veritasins.com/</t>
    </r>
  </si>
  <si>
    <t>ANAR INSURANCE BROKERS LTD</t>
  </si>
  <si>
    <t>Aastha Insurance Brokers Private Li Mited</t>
  </si>
  <si>
    <r>
      <rPr>
        <rFont val="Rubik"/>
        <color rgb="FF1155CC"/>
        <u/>
      </rPr>
      <t>https://instaraksha.com/</t>
    </r>
  </si>
  <si>
    <t>Bajaj Life Brand Name</t>
  </si>
  <si>
    <t>Troth Insurance Broking And Consultants Private Limited</t>
  </si>
  <si>
    <r>
      <rPr>
        <rFont val="Rubik"/>
        <color rgb="FF1155CC"/>
        <u/>
      </rPr>
      <t>https://trothinsurance.com/</t>
    </r>
  </si>
  <si>
    <t>PHILLIP SERVICES INDIA PRIVATE LIMITED</t>
  </si>
  <si>
    <r>
      <rPr>
        <rFont val="Rubik"/>
        <color rgb="FF1155CC"/>
        <u/>
      </rPr>
      <t>https://phillipservices.com/Insurance</t>
    </r>
  </si>
  <si>
    <t>Super Finserv Private Limited</t>
  </si>
  <si>
    <t>Yashraj Suvanam</t>
  </si>
  <si>
    <t>Aniruddha</t>
  </si>
  <si>
    <r>
      <rPr>
        <rFont val="Rubik"/>
        <color rgb="FF1155CC"/>
        <u/>
      </rPr>
      <t>https://superfinserv.com/term-insurance</t>
    </r>
  </si>
  <si>
    <t>BSE EBIX INSURANCE BROKING PVT LTD</t>
  </si>
  <si>
    <t>Odin Insurance Broking Services Private Limited</t>
  </si>
  <si>
    <r>
      <rPr>
        <rFont val="Rubik"/>
        <color rgb="FF1155CC"/>
        <u/>
      </rPr>
      <t>https://www.odininsurance.com/</t>
    </r>
  </si>
  <si>
    <t>Shrigoda Insurance Brokers Limited</t>
  </si>
  <si>
    <r>
      <rPr>
        <rFont val="Rubik"/>
        <color rgb="FF1155CC"/>
        <u/>
      </rPr>
      <t>https://www.insurance4life.in/</t>
    </r>
  </si>
  <si>
    <t>Broker</t>
  </si>
  <si>
    <t>Four Brothers Express Insurance Brokers Private Limited</t>
  </si>
  <si>
    <r>
      <rPr>
        <rFont val="Rubik"/>
        <color rgb="FF1155CC"/>
        <u/>
      </rPr>
      <t>https://bimabrothers.com/</t>
    </r>
  </si>
  <si>
    <t>Moneyfrog Financial Services Private Limited</t>
  </si>
  <si>
    <r>
      <rPr>
        <rFont val="Rubik"/>
        <color rgb="FF1155CC"/>
        <u/>
      </rPr>
      <t>https://moneyfrog.in/</t>
    </r>
  </si>
  <si>
    <t>Lambach Insurance Brokers Private Limited</t>
  </si>
  <si>
    <r>
      <rPr>
        <rFont val="Rubik"/>
        <color rgb="FF1155CC"/>
        <u/>
      </rPr>
      <t>https://lambach.in/</t>
    </r>
  </si>
  <si>
    <t>Massive Insurance Brokers Private Limited</t>
  </si>
  <si>
    <r>
      <rPr>
        <rFont val="Rubik"/>
        <color rgb="FF1155CC"/>
        <u/>
      </rPr>
      <t>https://www.insurancejarurihe.com/</t>
    </r>
  </si>
  <si>
    <t>Irm Insurance Brokers Private Limited</t>
  </si>
  <si>
    <r>
      <rPr>
        <rFont val="Rubik"/>
        <color rgb="FF1155CC"/>
        <u/>
      </rPr>
      <t>https://www.irminsurance.in/</t>
    </r>
  </si>
  <si>
    <t>Reliassure Insurance Brokers Private Limited</t>
  </si>
  <si>
    <r>
      <rPr>
        <rFont val="Rubik"/>
        <color rgb="FF1155CC"/>
        <u/>
      </rPr>
      <t>https://reliassure.in/</t>
    </r>
  </si>
  <si>
    <t>REVIEW INSURANCE BROKERS PVT LTD</t>
  </si>
  <si>
    <r>
      <rPr>
        <rFont val="Rubik"/>
        <color rgb="FF1155CC"/>
        <u/>
      </rPr>
      <t>https://www.reviewrisk.com/contact.html</t>
    </r>
  </si>
  <si>
    <t>SPA INSURANCE BROKING SERVICES LIMITED</t>
  </si>
  <si>
    <r>
      <rPr>
        <rFont val="Rubik"/>
        <color rgb="FF1155CC"/>
        <u/>
      </rPr>
      <t>https://www.spacapital.com/Archive/Default.aspx</t>
    </r>
  </si>
  <si>
    <t>Bewealthy Consultants Private Limited</t>
  </si>
  <si>
    <r>
      <rPr>
        <rFont val="Rubik"/>
        <color rgb="FF1155CC"/>
        <u/>
      </rPr>
      <t>https://bewealthy.co.in/</t>
    </r>
  </si>
  <si>
    <t>3WA0001784</t>
  </si>
  <si>
    <t>Policyx .Com Insurance Web Aggregator Private Limited</t>
  </si>
  <si>
    <r>
      <rPr>
        <rFont val="Rubik"/>
        <color rgb="FF1155CC"/>
        <u/>
      </rPr>
      <t>https://www.policyx.com/</t>
    </r>
  </si>
  <si>
    <t>PAYTM INSURANCE BROKING PVT LTD</t>
  </si>
  <si>
    <r>
      <rPr>
        <rFont val="Rubik"/>
        <color rgb="FF1155CC"/>
        <u/>
      </rPr>
      <t>https://paytminsurance.co.in/</t>
    </r>
  </si>
  <si>
    <t>REGAL INSURANCE BROKERS &amp; RISK MGMNT SER P LTD</t>
  </si>
  <si>
    <r>
      <rPr>
        <rFont val="Rubik"/>
        <color rgb="FF1155CC"/>
        <u/>
      </rPr>
      <t>https://regalinsurancebrokers.com/</t>
    </r>
  </si>
  <si>
    <t>SONNEN INSURANCE BROKING SERVICES PVT LTD</t>
  </si>
  <si>
    <t>Torque Insurance Brokers Private Limited</t>
  </si>
  <si>
    <r>
      <rPr>
        <rFont val="Rubik"/>
        <color rgb="FF1155CC"/>
        <u/>
      </rPr>
      <t>https://www.torqueinsure.com/life-insurance.php</t>
    </r>
  </si>
  <si>
    <t>Aryav Insurance Broking Private Limited</t>
  </si>
  <si>
    <r>
      <rPr>
        <rFont val="Rubik"/>
        <color rgb="FF1155CC"/>
        <u/>
      </rPr>
      <t>https://aryavinsurance.com/</t>
    </r>
  </si>
  <si>
    <t>Paavana Insurance Brokers Private Limited</t>
  </si>
  <si>
    <r>
      <rPr>
        <rFont val="Rubik"/>
        <color rgb="FF1155CC"/>
        <u/>
      </rPr>
      <t>https://www.paavanains.co.in/index.html</t>
    </r>
  </si>
  <si>
    <t>Ginteja Insurance Brokers Private Limited</t>
  </si>
  <si>
    <r>
      <rPr>
        <rFont val="Rubik"/>
        <color rgb="FF1155CC"/>
        <u/>
      </rPr>
      <t>https://app.gintejainsurance.com/</t>
    </r>
  </si>
  <si>
    <t>Nearby Insurance Broking Services Private Limited</t>
  </si>
  <si>
    <r>
      <rPr>
        <rFont val="Rubik"/>
        <color rgb="FF1155CC"/>
        <u/>
      </rPr>
      <t>https://www.insurenearby.in/#!/index</t>
    </r>
  </si>
  <si>
    <t>PRUDENT INSURANCE BROKERS PVT LTD</t>
  </si>
  <si>
    <r>
      <rPr>
        <rFont val="Rubik"/>
        <color rgb="FF1155CC"/>
        <u/>
      </rPr>
      <t>https://www.prudentbrokers.com/index.html</t>
    </r>
  </si>
  <si>
    <t>Coverfox Insurance Broking Pvt Ltd</t>
  </si>
  <si>
    <r>
      <rPr>
        <rFont val="Calibri, sans-serif"/>
        <color rgb="FF1155CC"/>
        <sz val="11.0"/>
        <u/>
      </rPr>
      <t>https://www.coverfox.com/term-insurance/bajaj-allianz/</t>
    </r>
  </si>
  <si>
    <t>Covermitra Insurance Broking Private Limited</t>
  </si>
  <si>
    <r>
      <rPr>
        <rFont val="Rubik"/>
        <color rgb="FF1155CC"/>
        <u/>
      </rPr>
      <t>https://www.covermitra.com/life-insurance/</t>
    </r>
  </si>
  <si>
    <t>Finzoomers Services Private Limited</t>
  </si>
  <si>
    <r>
      <rPr>
        <rFont val="Rubik"/>
        <color rgb="FF1155CC"/>
        <u/>
      </rPr>
      <t>https://www.indmoney.com/</t>
    </r>
  </si>
  <si>
    <t>Zfinca Insurance Brokers Private Limited</t>
  </si>
  <si>
    <t>GALLAGHER INSURANCE BROKERS PVT LTD</t>
  </si>
  <si>
    <r>
      <rPr>
        <rFont val="Rubik"/>
        <color rgb="FF1155CC"/>
        <u/>
      </rPr>
      <t>https://www.ajg.com/in/insurance-partners/</t>
    </r>
  </si>
  <si>
    <t>Policypoint Insurance Broking Private Limited</t>
  </si>
  <si>
    <r>
      <rPr>
        <rFont val="Rubik"/>
        <color rgb="FF1155CC"/>
        <u/>
      </rPr>
      <t>https://policypoint.co/life-insurance</t>
    </r>
  </si>
  <si>
    <t>Vittachaya Insurance Brokers Private Limited</t>
  </si>
  <si>
    <r>
      <rPr>
        <rFont val="Rubik"/>
        <color rgb="FF1155CC"/>
        <u/>
      </rPr>
      <t>https://www.vittachayainsurance.com/</t>
    </r>
  </si>
  <si>
    <t>Novabenefits Insurance Brokers Private Limited</t>
  </si>
  <si>
    <r>
      <rPr>
        <rFont val="Rubik"/>
        <color rgb="FF1155CC"/>
        <u/>
      </rPr>
      <t>https://novabroking.com/</t>
    </r>
  </si>
  <si>
    <t>Alacrity Insurance Brokers Private Limited</t>
  </si>
  <si>
    <r>
      <rPr>
        <rFont val="Rubik"/>
        <color rgb="FF1155CC"/>
        <u/>
      </rPr>
      <t>https://www.alacrityib.in/</t>
    </r>
  </si>
  <si>
    <t>Buildwealth Technologies Private Limited</t>
  </si>
  <si>
    <r>
      <rPr>
        <rFont val="Rubik"/>
        <color rgb="FF1155CC"/>
        <u/>
      </rPr>
      <t>https://www.wealthy.in/partner/insurance-solutions</t>
    </r>
  </si>
  <si>
    <t>Vibe Insurance Broking And Advisory Service Private Limited</t>
  </si>
  <si>
    <r>
      <rPr>
        <rFont val="Rubik"/>
        <color rgb="FF1155CC"/>
        <u/>
      </rPr>
      <t>https://vibeins.com/individual</t>
    </r>
  </si>
  <si>
    <t>Finwizard Technology Private Limited</t>
  </si>
  <si>
    <r>
      <rPr>
        <rFont val="Rubik"/>
        <color rgb="FF1155CC"/>
        <u/>
      </rPr>
      <t>https://www.fisdom.com/</t>
    </r>
  </si>
  <si>
    <t>Sr Associates Realmart Private Limited</t>
  </si>
  <si>
    <r>
      <rPr>
        <rFont val="Rubik"/>
        <color rgb="FF1155CC"/>
        <u/>
      </rPr>
      <t>http://srassociate.co.in/life-insurance/</t>
    </r>
  </si>
  <si>
    <t>Valueplus Technologies Private Limited</t>
  </si>
  <si>
    <r>
      <rPr>
        <rFont val="Rubik"/>
        <color rgb="FF1155CC"/>
        <u/>
      </rPr>
      <t>https://m.assetplus.in/#!/</t>
    </r>
  </si>
  <si>
    <t>Safetynet Insurance Services Private Limited</t>
  </si>
  <si>
    <r>
      <rPr>
        <rFont val="Rubik"/>
        <color rgb="FF1155CC"/>
        <u/>
      </rPr>
      <t>https://healthysure.in/products/</t>
    </r>
  </si>
  <si>
    <t>SECURUS INSURANCE BROKERS(INDIA) PRIVATE LIMITED</t>
  </si>
  <si>
    <r>
      <rPr>
        <rFont val="Rubik"/>
        <color rgb="FF1155CC"/>
        <u/>
      </rPr>
      <t>https://securus.in/insurance#life-insurance</t>
    </r>
  </si>
  <si>
    <t>ETHIKA INSURANCE BROKING PRIVATE LIMITED</t>
  </si>
  <si>
    <r>
      <rPr>
        <rFont val="Rubik"/>
        <color rgb="FF1155CC"/>
        <u/>
      </rPr>
      <t>https://www.ethika.co.in/</t>
    </r>
  </si>
  <si>
    <t>Peraj Insurance Brokers Private Limited</t>
  </si>
  <si>
    <r>
      <rPr>
        <rFont val="Rubik"/>
        <color rgb="FF1155CC"/>
        <u/>
      </rPr>
      <t>https://www.peraj.com/</t>
    </r>
  </si>
  <si>
    <t>Bharat Bhushan Insurance Brokers Private Limited</t>
  </si>
  <si>
    <r>
      <rPr>
        <rFont val="Rubik"/>
        <color rgb="FF1155CC"/>
        <u/>
      </rPr>
      <t>https://bharatbhushaninsurance.com/lifeInsurance.aspx#</t>
    </r>
  </si>
  <si>
    <t>Swastika Insurance Broking Services Limited</t>
  </si>
  <si>
    <t>Policy Era Insurance Broking Private Limited</t>
  </si>
  <si>
    <r>
      <rPr>
        <rFont val="Rubik"/>
        <color rgb="FF1155CC"/>
        <u/>
      </rPr>
      <t>https://policyera.com/products/personal-term-life-insurance/</t>
    </r>
  </si>
  <si>
    <t>SEAHORSE MARKETING PRIVATE LIMITED</t>
  </si>
  <si>
    <t>ACE INSURANCE BROKERS P LTD</t>
  </si>
  <si>
    <r>
      <rPr>
        <rFont val="Rubik"/>
        <color rgb="FF1155CC"/>
        <u/>
      </rPr>
      <t>https://www.aceinsuranceindia.com/index.html</t>
    </r>
  </si>
  <si>
    <t>EDIFY INSURANCE BROKERS PRIVATE LIMITED</t>
  </si>
  <si>
    <r>
      <rPr>
        <rFont val="Rubik"/>
        <color rgb="FF1155CC"/>
        <u/>
      </rPr>
      <t>https://edifybrokers.com/personal-insurance/</t>
    </r>
  </si>
  <si>
    <t>CENTRUM INSURANCE BROKERS LTD</t>
  </si>
  <si>
    <r>
      <rPr>
        <rFont val="Rubik"/>
        <color rgb="FF1155CC"/>
        <u/>
      </rPr>
      <t>https://centrum.co.in/</t>
    </r>
  </si>
  <si>
    <t>CMS INSURANCE BROKERS PVT LTD</t>
  </si>
  <si>
    <r>
      <rPr>
        <rFont val="Rubik"/>
        <color rgb="FF1155CC"/>
        <u/>
      </rPr>
      <t>www.cmsinsurancebrokers.com</t>
    </r>
  </si>
  <si>
    <t>Sixth Sense Insurance Broking Services Private Limited</t>
  </si>
  <si>
    <r>
      <rPr>
        <rFont val="Rubik"/>
        <color rgb="FF1155CC"/>
        <u/>
      </rPr>
      <t>https://www.sixthsenseinsurance.com/</t>
    </r>
  </si>
  <si>
    <t>Bimapunj Insurance Brokers Private Limited</t>
  </si>
  <si>
    <r>
      <rPr>
        <rFont val="Rubik"/>
        <color rgb="FF1155CC"/>
        <u/>
      </rPr>
      <t>https://bimapunj.com/</t>
    </r>
  </si>
  <si>
    <t>Advance Life Insurance Brokers Private Limited</t>
  </si>
  <si>
    <r>
      <rPr>
        <rFont val="Rubik"/>
        <color rgb="FF1155CC"/>
        <u/>
      </rPr>
      <t>https://advancelifeinsurance.in/</t>
    </r>
  </si>
  <si>
    <t>Bp Risk Advisors &amp; Insurance Brokers Private Limited</t>
  </si>
  <si>
    <t>Tata Capital Housing Finance Limited</t>
  </si>
  <si>
    <t>Ravindrapratap atmaram Singh</t>
  </si>
  <si>
    <r>
      <rPr>
        <rFont val="Rubik"/>
        <color rgb="FF1155CC"/>
        <u/>
      </rPr>
      <t>https://www.tatacapital.com/tchfl.html</t>
    </r>
  </si>
  <si>
    <t>Finnovate Financial Services Private Limited</t>
  </si>
  <si>
    <r>
      <rPr>
        <rFont val="Rubik"/>
        <color rgb="FF1155CC"/>
        <u/>
      </rPr>
      <t>https://www.finnovate.in/</t>
    </r>
  </si>
  <si>
    <t>Tacterial Consulting Private Limited</t>
  </si>
  <si>
    <r>
      <rPr>
        <rFont val="Rubik"/>
        <color rgb="FF1155CC"/>
        <u/>
      </rPr>
      <t>https://joinditto.in/</t>
    </r>
  </si>
  <si>
    <t>PALM INSURANCE BROKERAGE PVT LTD</t>
  </si>
  <si>
    <r>
      <rPr>
        <rFont val="Rubik"/>
        <color rgb="FF1155CC"/>
        <u/>
      </rPr>
      <t>https://palminsurance.in/</t>
    </r>
  </si>
  <si>
    <t>Get Paz Insurance Brokers Private Limited</t>
  </si>
  <si>
    <r>
      <rPr>
        <rFont val="Rubik"/>
        <color rgb="FF1155CC"/>
        <u/>
      </rPr>
      <t>https://www.pazcare.com/</t>
    </r>
  </si>
  <si>
    <t>Prost Insurance Brokers Private Limited</t>
  </si>
  <si>
    <r>
      <rPr>
        <rFont val="Rubik"/>
        <color rgb="FF1155CC"/>
        <u/>
      </rPr>
      <t>https://www.oneassure.in/term-insurance</t>
    </r>
  </si>
  <si>
    <t>Indusind Bank Limited</t>
  </si>
  <si>
    <r>
      <rPr>
        <rFont val="Rubik"/>
        <color rgb="FF1155CC"/>
        <u/>
      </rPr>
      <t>https://www.indusind.bank.in/in/en/personal/insurance.html</t>
    </r>
  </si>
  <si>
    <t>Easy Home Finance Limited</t>
  </si>
  <si>
    <r>
      <rPr>
        <rFont val="Rubik"/>
        <color rgb="FF1155CC"/>
        <u/>
      </rPr>
      <t>https://www.easyhomefinance.in/</t>
    </r>
  </si>
  <si>
    <t>The Karnataka Bank Limited</t>
  </si>
  <si>
    <t>CHANDRA SEKHAR REDDY</t>
  </si>
  <si>
    <r>
      <rPr>
        <rFont val="Rubik"/>
        <color rgb="FF1155CC"/>
        <u/>
      </rPr>
      <t>https://www.karnatakabank.bank.in/personal/insurance/life-insurance</t>
    </r>
  </si>
  <si>
    <t>Gosree Insurance Broking Services Private Limited</t>
  </si>
  <si>
    <r>
      <rPr>
        <rFont val="Rubik"/>
        <color rgb="FF1155CC"/>
        <u/>
      </rPr>
      <t>https://gosreefinance.com/</t>
    </r>
  </si>
  <si>
    <t>Akshaya Wealth Management Private Limited</t>
  </si>
  <si>
    <r>
      <rPr>
        <rFont val="Rubik"/>
        <color rgb="FF1155CC"/>
        <u/>
      </rPr>
      <t>https://www.akshayawealth.com/</t>
    </r>
  </si>
  <si>
    <t>DMT EMPIRE INDIA PRIVATE LIMITED</t>
  </si>
  <si>
    <r>
      <rPr>
        <rFont val="Rubik"/>
        <color rgb="FF1155CC"/>
        <u/>
      </rPr>
      <t>https://dmtkendra.com/LifeInsurance</t>
    </r>
  </si>
  <si>
    <t>RIGHT HORIZONS INSURANCE BROKING SERVICES PVT LTD</t>
  </si>
  <si>
    <r>
      <rPr>
        <rFont val="Rubik"/>
        <color rgb="FF1155CC"/>
        <u/>
      </rPr>
      <t>https://www.righthorizons.com/</t>
    </r>
  </si>
  <si>
    <t>AON INDIA INSURANCE BROKERS PVT LTD</t>
  </si>
  <si>
    <r>
      <rPr>
        <rFont val="Rubik"/>
        <color rgb="FF1155CC"/>
        <u/>
      </rPr>
      <t>https://www.aon.com/en/</t>
    </r>
  </si>
  <si>
    <t>Pmp Insurance Broking Llp</t>
  </si>
  <si>
    <r>
      <rPr>
        <rFont val="Rubik"/>
        <color rgb="FF1155CC"/>
        <u/>
      </rPr>
      <t>https://www.pmpib.com/individual-insurance/</t>
    </r>
  </si>
  <si>
    <t>Peerless Financial Products Distribution Limited</t>
  </si>
  <si>
    <r>
      <rPr>
        <rFont val="Rubik"/>
        <color rgb="FF1155CC"/>
        <u/>
      </rPr>
      <t>https://peerless.co.in/</t>
    </r>
  </si>
  <si>
    <t>Sarvagram Solutions Private Limited</t>
  </si>
  <si>
    <r>
      <rPr>
        <rFont val="Rubik"/>
        <color rgb="FF1155CC"/>
        <u/>
      </rPr>
      <t>https://www.sarvagram.com/insurance/</t>
    </r>
  </si>
  <si>
    <t>Claycove23 Insurance Tech Private Limited</t>
  </si>
  <si>
    <r>
      <rPr>
        <rFont val="Rubik"/>
        <color rgb="FF1155CC"/>
        <u/>
      </rPr>
      <t>https://www.coversure.in/</t>
    </r>
  </si>
  <si>
    <t>Bajaj Housing Finance Limited</t>
  </si>
  <si>
    <t>Chandra Sekhar Reddy</t>
  </si>
  <si>
    <r>
      <rPr>
        <rFont val="Rubik"/>
        <color rgb="FF1155CC"/>
        <u/>
      </rPr>
      <t>https://www.bajajhousingfinance.in/</t>
    </r>
  </si>
  <si>
    <t>Rion Insura Insurance Broking Private Limited</t>
  </si>
  <si>
    <r>
      <rPr>
        <rFont val="Rubik"/>
        <color rgb="FF1155CC"/>
        <u/>
      </rPr>
      <t>https://rioninsura.com/#part</t>
    </r>
  </si>
  <si>
    <t>Hudson Insurance Brokers Private Limited</t>
  </si>
  <si>
    <r>
      <rPr>
        <rFont val="Rubik"/>
        <color rgb="FF1155CC"/>
        <u/>
      </rPr>
      <t>https://hudsoninsgroup.com/</t>
    </r>
  </si>
  <si>
    <t>Unilight Reinsurance Brokers Private Limited</t>
  </si>
  <si>
    <r>
      <rPr>
        <rFont val="Rubik"/>
        <color rgb="FF1155CC"/>
        <u/>
      </rPr>
      <t>https://www.unilight.in/life-insurance.php</t>
    </r>
  </si>
  <si>
    <t>Tata Capital Limited</t>
  </si>
  <si>
    <r>
      <rPr>
        <rFont val="Rubik"/>
        <color rgb="FF1155CC"/>
        <u/>
      </rPr>
      <t>https://www.tatacapital.com/tchfl/insurance/life-insurance/products.html</t>
    </r>
  </si>
  <si>
    <t>Prudent Corporate Advisory Services Limited</t>
  </si>
  <si>
    <r>
      <rPr>
        <rFont val="Rubik"/>
        <color rgb="FF1155CC"/>
        <u/>
      </rPr>
      <t>https://www.prudentcorporate.com/productofferings#InsuranceG</t>
    </r>
  </si>
  <si>
    <t>Andhra Pradesh Urban Infrastructure Asset Management Limited</t>
  </si>
  <si>
    <r>
      <rPr>
        <rFont val="Rubik"/>
        <color rgb="FF1155CC"/>
        <u/>
      </rPr>
      <t>https://www.apurban.com/</t>
    </r>
  </si>
  <si>
    <t>Opp Insurance Brokers Private Limited</t>
  </si>
  <si>
    <t>SECURENOW INSURANCE BROKER PVT LTD</t>
  </si>
  <si>
    <r>
      <rPr>
        <rFont val="Calibri, sans-serif"/>
        <color rgb="FF1155CC"/>
        <sz val="11.0"/>
        <u/>
      </rPr>
      <t>https://securenow.in/</t>
    </r>
  </si>
  <si>
    <t>Antic Insurance Brokers &amp; Risk Management Services Private Limited</t>
  </si>
  <si>
    <r>
      <rPr>
        <rFont val="Rubik"/>
        <color rgb="FF1155CC"/>
        <u/>
      </rPr>
      <t>https://anticinsurance.in/</t>
    </r>
  </si>
  <si>
    <t>K Wasan Insurance Broking Private Limited</t>
  </si>
  <si>
    <r>
      <rPr>
        <rFont val="Rubik"/>
        <color rgb="FF1155CC"/>
        <u/>
      </rPr>
      <t>https://kwasaninsurance.com/</t>
    </r>
  </si>
  <si>
    <t>L&amp;T Finance Holdings Limited</t>
  </si>
  <si>
    <r>
      <rPr>
        <rFont val="Rubik"/>
        <color rgb="FF1155CC"/>
        <u/>
      </rPr>
      <t>https://www.ltfinance.com/life-insurance</t>
    </r>
  </si>
  <si>
    <t>Tcm Financial Services Private Limited</t>
  </si>
  <si>
    <r>
      <rPr>
        <rFont val="Rubik"/>
        <color rgb="FF1155CC"/>
        <u/>
      </rPr>
      <t>https://thukralcapital.com/insurance/</t>
    </r>
  </si>
  <si>
    <t>59L0000000</t>
  </si>
  <si>
    <t>BAJAJ FINANCE LIMITED</t>
  </si>
  <si>
    <t>https://www.bajajfinserv.in/insurance/term-insurance-plans
 https://www.bajajfinserv.in/insurance/saving-plans
 https://www.bajajfinserv.in/insurance/investment-plans-all-products
 https://www.bajajfinserv.in/insurance/ulip-plans
 https://www.bajajfinserv.in/insurance/retirement-plans
 https://www.bajajfinserv.in/insurance/children-plans</t>
  </si>
  <si>
    <t>59D0000001</t>
  </si>
  <si>
    <t>DHANLAXMI BANK LIMITED</t>
  </si>
  <si>
    <t>https://www.dhanbank.com/</t>
  </si>
  <si>
    <t>5X90000001</t>
  </si>
  <si>
    <t>SVC CO-OPERATIVE BANK LIMITED</t>
  </si>
  <si>
    <t>https://www.svc.bank.in/apply-now/life-insurance/Life%20Insurance/Bringing%20certainty%20to%20uncertainty%20by%20securing%20your%20family's%20future%20with%20a%20Life%20Insurance%20Cover</t>
  </si>
  <si>
    <t>Jana Small Finance Bank Limited</t>
  </si>
  <si>
    <t>https://www.jana.bank.in/insurance/life-insurance/</t>
  </si>
  <si>
    <t>Esaf Small Finance Bank Ltd</t>
  </si>
  <si>
    <t>https://www.esaf.bank.in/</t>
  </si>
  <si>
    <t>Shivalik Small Finance Bank Ltd</t>
  </si>
  <si>
    <t>https://shivalik.bank.in/service/insurance/life-insurance</t>
  </si>
  <si>
    <t>Au Small Finance Bank Limited</t>
  </si>
  <si>
    <t>https://www.au.bank.in/personal-banking/life-insurance</t>
  </si>
  <si>
    <t>The South Indian Bank Limited</t>
  </si>
  <si>
    <t>https://www.southindianbank.bank.in/</t>
  </si>
  <si>
    <t>The Federal Bank Limited</t>
  </si>
  <si>
    <t>https://www.federal.bank.in/bajaj-life-insurance</t>
  </si>
  <si>
    <t>3A60011715</t>
  </si>
  <si>
    <t>UJJIVAN SMALL FINANCE BANK</t>
  </si>
  <si>
    <t>https://www.ujjivansfb.bank.in/personal/insurance/third-party-product-life-insurance</t>
  </si>
  <si>
    <t>NKGSB CO OP BANK LTD</t>
  </si>
  <si>
    <t>https://www.nkgsb-bank.com/</t>
  </si>
  <si>
    <t>3WA0001787</t>
  </si>
  <si>
    <t>Dys Family Raksha Insurance Web Aggregators Private Limited</t>
  </si>
  <si>
    <r>
      <rPr>
        <rFont val="Calibri, sans-serif"/>
        <color rgb="FF1155CC"/>
        <sz val="11.0"/>
        <u/>
      </rPr>
      <t>https://familyraksha.com/wp-content/uploads/2024/08/BAJAJ-AWG-brochure.pdf</t>
    </r>
  </si>
  <si>
    <t>NAVNIT INSURANCE BROKING PVT.LTD.</t>
  </si>
  <si>
    <t>https://navnitinsurance.com</t>
  </si>
  <si>
    <t>Veezinsure Insurance Broking Private Limited</t>
  </si>
  <si>
    <t>Aparys Insurance Broking Private Limited</t>
  </si>
  <si>
    <t>https://www.bimavima.com</t>
  </si>
  <si>
    <t>Fortune Five Insurance Brokers Private Limited</t>
  </si>
  <si>
    <t>https://www.fortunefive.in</t>
  </si>
  <si>
    <t>Desteneer Insurance Brokers Private Limited</t>
  </si>
  <si>
    <t>Go Insure India Insurance Broking Private Limited</t>
  </si>
  <si>
    <t>https://goinsureindia.com</t>
  </si>
  <si>
    <t>Heritage Finlease Limited</t>
  </si>
  <si>
    <t>Asquire Global Financial Solutions Private Limited</t>
  </si>
  <si>
    <t>3WA0001788</t>
  </si>
  <si>
    <t>Guide2protect Insurance Web Aggregator Private Limited</t>
  </si>
  <si>
    <t>https://www.beema1.com</t>
  </si>
  <si>
    <t>Brilliant Insurance Broking Services Private Limited</t>
  </si>
  <si>
    <t>Hbr Insurance Brokers Private Limited</t>
  </si>
  <si>
    <t>Neo Risk Management And Insurance Brokers Private Limited</t>
  </si>
  <si>
    <t>https://www.neoinsurance.co.in</t>
  </si>
  <si>
    <t>Iifl Home Finance Limited</t>
  </si>
  <si>
    <t>https://www.iiflhomeloans.com</t>
  </si>
  <si>
    <t>3A60013284</t>
  </si>
  <si>
    <t>AROHAN FINANCIAL SERVICES LTD</t>
  </si>
  <si>
    <t>https://www.arohan.in</t>
  </si>
  <si>
    <t>Barik Insurance Brokers Private Limited</t>
  </si>
  <si>
    <t>https://superpolicy.in</t>
  </si>
  <si>
    <t>Pib Insurance Brokers Private Limited</t>
  </si>
  <si>
    <t>https://www.pibinsurance.in</t>
  </si>
  <si>
    <t>Buckss Insurance Brokers Private Limited</t>
  </si>
  <si>
    <t>Terranua Insurance Brokers Private Limited</t>
  </si>
  <si>
    <t>https://bimamandi.in</t>
  </si>
  <si>
    <t>BAJAJ FINSERV DIRECT LIMITED</t>
  </si>
  <si>
    <t>https://www.bajajfinservdirect.in</t>
  </si>
  <si>
    <t>CHOICE INSURANCE BROKING INDIA PVT LTD</t>
  </si>
  <si>
    <t>https://choiceindia.com</t>
  </si>
  <si>
    <t>EMEDLIFE INSURANCE BROKING SERVICES LTD</t>
  </si>
  <si>
    <t>EDME INSURANCE BROKERS LIMITED</t>
  </si>
  <si>
    <t>https://www.edmeinsurance.com</t>
  </si>
  <si>
    <t>Plum Benefits Insurance Brokers Private Limited</t>
  </si>
  <si>
    <t>https://www.plumhq.com</t>
  </si>
  <si>
    <t>Ezy Wise Services Insurance Brokers Private Limited</t>
  </si>
  <si>
    <r>
      <rPr>
        <rFont val="Rubik"/>
        <color rgb="FF1155CC"/>
        <u/>
      </rPr>
      <t>https://secureezy.com/#</t>
    </r>
  </si>
  <si>
    <t>Probitas Insurance Brokers Private Limited</t>
  </si>
  <si>
    <r>
      <rPr>
        <rFont val="Rubik"/>
        <color rgb="FF1155CC"/>
        <u/>
      </rPr>
      <t>https://takemyinsurance.com/Life-Insurance/generatelicrequest.aspx?step=detail-selection-screen</t>
    </r>
  </si>
  <si>
    <t>Bajaj General</t>
  </si>
  <si>
    <t>G.K.Insurance Brokers Private Limited</t>
  </si>
  <si>
    <t>Sejal Insurance Broking Limited</t>
  </si>
  <si>
    <t>LIFE AND GENERAL INSURANCE AND REINSURANCE BROKERS PVT LTD</t>
  </si>
  <si>
    <t>https://www.lifeandgeneral.com</t>
  </si>
  <si>
    <t>Livscience Technologies Private Limited</t>
  </si>
  <si>
    <t>Muthoot Microfin Limited</t>
  </si>
  <si>
    <t>https://muthootmicrofin.com</t>
  </si>
  <si>
    <t>Emerging Wealth Capital Private Limited</t>
  </si>
  <si>
    <t>KM DASTUR REINSURANCE BROKERS PVT LTD</t>
  </si>
  <si>
    <t>https://www.kmdastur.com</t>
  </si>
  <si>
    <t>AUTO HANGER INSURANCE BROKERS PRIVATE LIMITED</t>
  </si>
  <si>
    <t>Aapka Policywala Insurance Broking Services Private Limited</t>
  </si>
  <si>
    <t>https://aapkapolicywala.com</t>
  </si>
  <si>
    <t>Metier Insurance Broking Private Limited</t>
  </si>
  <si>
    <t>Web Aggregator</t>
  </si>
  <si>
    <t>Digisecure Insurance Broking &amp; Risk Management Services Private Limited</t>
  </si>
  <si>
    <t>Viaansh Insurance Brokers Private Limited</t>
  </si>
  <si>
    <t>Capri Global Capital Limited</t>
  </si>
  <si>
    <r>
      <rPr>
        <rFont val="Rubik"/>
        <color rgb="FF1155CC"/>
        <u/>
      </rPr>
      <t>https://capriglobal.in</t>
    </r>
  </si>
  <si>
    <t>Atmanirbhar Suraksha Insurance Private Limited</t>
  </si>
  <si>
    <t>TATA MOTORS INSURANCE BROKING&amp;ADVISORYSERVICESLTD</t>
  </si>
  <si>
    <r>
      <rPr>
        <rFont val="Rubik"/>
        <color rgb="FF1155CC"/>
        <u/>
      </rPr>
      <t>https://www.tatamotorsinsurancebrokers.com</t>
    </r>
  </si>
  <si>
    <t>Wealthstreet Insurance Brokers Private Limited</t>
  </si>
  <si>
    <t>https://rakshamitra.com</t>
  </si>
  <si>
    <t>Nhance India Insurance Broking Private Limited</t>
  </si>
  <si>
    <t>Jasleen</t>
  </si>
  <si>
    <t>https://nhanceindia.in</t>
  </si>
  <si>
    <t>Riverbank Insurance Brokers Private Limited</t>
  </si>
  <si>
    <t>https://insurancemanager.com</t>
  </si>
  <si>
    <t>Virtual Galaxy Insurance Brokers Private Limited</t>
  </si>
  <si>
    <t>Enrichwise Insurance Broking Services Private Limited</t>
  </si>
  <si>
    <t>Telos Risk Management And Insurance Broking Services Private Limited</t>
  </si>
  <si>
    <t>https://www.telosrisk.com</t>
  </si>
  <si>
    <t>Ignite Insurance Broking Private Limited</t>
  </si>
  <si>
    <t>https://igniteinsurancebroking.com</t>
  </si>
  <si>
    <t>Hallmark Insurance Brokers Llp</t>
  </si>
  <si>
    <t>Premia Insurance Brokers Private Limited</t>
  </si>
  <si>
    <t>https://premiainsurance.in</t>
  </si>
  <si>
    <t>Aisect Insurance Broker Private Limited</t>
  </si>
  <si>
    <t>http://www.aibl.in</t>
  </si>
  <si>
    <t>Latin Manharlal Insurance Broking Private Limited</t>
  </si>
  <si>
    <t>Nabfins Limited</t>
  </si>
  <si>
    <t>https://nabfins.org</t>
  </si>
  <si>
    <t>Aditya Birla Money Limited</t>
  </si>
  <si>
    <t>https://www.adityabirlamoney.com</t>
  </si>
  <si>
    <t>Policy .Online Insurance Brokers Private Limited</t>
  </si>
  <si>
    <r>
      <rPr>
        <rFont val="Rubik"/>
        <color rgb="FF1155CC"/>
        <u/>
      </rPr>
      <t>https://in.policy.online/web/insurance-company/bajaj-allianz-life-insurance-company-limited/</t>
    </r>
    <r>
      <rPr>
        <rFont val="Rubik"/>
      </rPr>
      <t xml:space="preserve">
 https://in.policy.online/web/policy/519/bajaj-allianz-life-health-care-goal
 https://in.policy.online/web/policy/562/bajaj-allianz-life-group-annuity-an-immediate-annuity-plan
 https://in.policy.online/web/policy/553/group-insurance-plans
 https://in.policy.online/web/policy/497/bajaj-allianz-life-guaranteed-saving-goal</t>
    </r>
  </si>
  <si>
    <t>ZEAL INSURANCE BROKERS PRIVATE LIMITED</t>
  </si>
  <si>
    <t>Analah Insurance Broking Private Limited</t>
  </si>
  <si>
    <t>WILLIS TOWERS WATSON INDIA INSURANCE BROKERS PRIVATE LTD</t>
  </si>
  <si>
    <t>IDEAL INSURANCE BROKERS PVT LTD</t>
  </si>
  <si>
    <t>SRIYAH INSURANCE BROKERS PVT LTD</t>
  </si>
  <si>
    <r>
      <rPr>
        <rFont val="Rubik"/>
        <color rgb="FF1155CC"/>
        <u/>
      </rPr>
      <t>https://www.sriyah.in/wp-content/uploads/claim-forms/motor/Bajaj%20Allianz%20Motor%20Claim%20form%20with%20Satisfaction%20Voucher.pdf</t>
    </r>
  </si>
  <si>
    <t>WAY2WEALTH INSURANCE BROKERS PVT LTD.</t>
  </si>
  <si>
    <t>https://www.way2wealth.com</t>
  </si>
  <si>
    <t>Invoq Loop Insurance Brokers Private Limited</t>
  </si>
  <si>
    <t>https://www.loophealth.com</t>
  </si>
  <si>
    <t>Saiprabha Insurance Brokers Private Limited</t>
  </si>
  <si>
    <t>Nd Insurance Broking Private Limited</t>
  </si>
  <si>
    <t>Candid Insurance Brokers Private Limited</t>
  </si>
  <si>
    <t>Arete Capital Service Private Limited</t>
  </si>
  <si>
    <t>Tamarind Insurance Brokers Private Limited</t>
  </si>
  <si>
    <t>https://tamarindinsurance.com</t>
  </si>
  <si>
    <t>Policy Planner Insurance Brokers Private Limited</t>
  </si>
  <si>
    <r>
      <rPr>
        <rFont val="Rubik"/>
        <color rgb="FF1155CC"/>
        <u/>
      </rPr>
      <t>https://posp.policyplanner.com/core/become-bajaj-insurance-agent</t>
    </r>
  </si>
  <si>
    <t>Nandak Insurance Brokers Private Limited</t>
  </si>
  <si>
    <t>In2fin Insurance Brokers Private Limited</t>
  </si>
  <si>
    <t>https://www.bimaguide.com</t>
  </si>
  <si>
    <t>ICARE INSURANCE BROKING SERVICES PVT.LTD</t>
  </si>
  <si>
    <t>Omega Insurance Broking Services Private Limited</t>
  </si>
  <si>
    <t>SSS RISK MANAGEMENT AND INSURANCE BROKERS PVT LTD</t>
  </si>
  <si>
    <t>https://sssriskmanagement.com</t>
  </si>
  <si>
    <t>INDIA INSURE RISK MANAGEMENT &amp; INSURANCE BROKING SERVICES PVT LTD</t>
  </si>
  <si>
    <t>Sustainable Agro-Commercial Finance Limited</t>
  </si>
  <si>
    <t>Rksv Securities India Private Limited</t>
  </si>
  <si>
    <t>https://upstox.com</t>
  </si>
  <si>
    <t>Ecl Finance Limited</t>
  </si>
  <si>
    <t>https://eclfinance.edelweissfin.com</t>
  </si>
  <si>
    <t>Nido Home Finance Limited</t>
  </si>
  <si>
    <t>https://nidohomefin.com</t>
  </si>
  <si>
    <t>Uttar Bihar Gramin Bank</t>
  </si>
  <si>
    <t>https://ubgb.in</t>
  </si>
  <si>
    <t>Carebharat Insurance Brokers Private Limited</t>
  </si>
  <si>
    <t>Medwell Insurance Broking Private Limited</t>
  </si>
  <si>
    <t>Policy Parivaar Insurance Brokers Private Limited</t>
  </si>
  <si>
    <t>Policy Safe Insurance Brokers Private Limited</t>
  </si>
  <si>
    <t>Bizbima Insurance Brokers Private Limited</t>
  </si>
  <si>
    <t>Astro Insurance Brokers Limited</t>
  </si>
  <si>
    <t>INDITRADE INSURANCE BROKING PVT LTD</t>
  </si>
  <si>
    <t>https://inditrade.com</t>
  </si>
  <si>
    <t>Extra Cover Insurance Brokers Private Limited</t>
  </si>
  <si>
    <t>ELITE INSURANCE BROKERS PRIVATE LIMITED</t>
  </si>
  <si>
    <t>Exclusive Insurance Broking Services Limited</t>
  </si>
  <si>
    <t>Pygmalion Renaissance Private Limited</t>
  </si>
  <si>
    <t>Prosafe Insurance Private Limited</t>
  </si>
  <si>
    <t>Urbanetek Insurance Broking Private Limited</t>
  </si>
  <si>
    <t>Alexa Insurance Broker Private Limited</t>
  </si>
  <si>
    <t>Oasis Insurance Brokers Private Limited</t>
  </si>
  <si>
    <t>Imn Insurance Broking Private Limited</t>
  </si>
  <si>
    <t>Ntrust Insurance Broking Services Private Limited</t>
  </si>
  <si>
    <t>https://www.ntrust.co.in</t>
  </si>
  <si>
    <t>MAZEL INSURANCE BROKERS PVT LTD</t>
  </si>
  <si>
    <t>RAGHNALL INSURANCE BROKING AND RISK MANAGEMENT PVT LTD</t>
  </si>
  <si>
    <t>https://www.raghnall.co.in</t>
  </si>
  <si>
    <t>Kausalyam Insurance Broking Private Limited</t>
  </si>
  <si>
    <t>https://kausalyam.com</t>
  </si>
  <si>
    <t>Maklav Insurance Brokers Private Limited</t>
  </si>
  <si>
    <t>AXIS BANK LTD</t>
  </si>
  <si>
    <t>Souvik Shanker Roy</t>
  </si>
  <si>
    <t>https://www.axis.bank.in/insurance/life-insurance</t>
  </si>
  <si>
    <t>RBL Bank Ltd</t>
  </si>
  <si>
    <t>Zeeshan Andleeb</t>
  </si>
  <si>
    <t>https://www.rbl.bank.in/personal-banking/insurance/life-insurance/bajaj-life-insurance</t>
  </si>
  <si>
    <t>Updated content</t>
  </si>
  <si>
    <t>IDFC FIRST Bank Ltd</t>
  </si>
  <si>
    <t>https://www.idfcfirst.bank.in/personal-banking/investments-and-insurance</t>
  </si>
  <si>
    <t>DBS BANK INDIA LIMITED</t>
  </si>
  <si>
    <t>https://www.dbs.bank.in/in/treasures/insurance/life-insurance/default.page</t>
  </si>
  <si>
    <t>Punjab And Sind Bank</t>
  </si>
  <si>
    <t>https://punjabandsind.bank.in/content/bajaj-life-insurance-co</t>
  </si>
  <si>
    <t>The Jammu And Kashmir Bank Limited</t>
  </si>
  <si>
    <t>https://jkb.bank.in/deposits/life-insurance</t>
  </si>
  <si>
    <t>Yes Bank Limited</t>
  </si>
  <si>
    <t>https://www.yes.bank.in/personal-banking/yes-individual/insurance/life-insurance</t>
  </si>
  <si>
    <t>MANAPPURAM INSURANCE BROKERS LTD</t>
  </si>
  <si>
    <r>
      <rPr>
        <rFont val="Rubik"/>
        <color rgb="FF1155CC"/>
        <u/>
      </rPr>
      <t>https://www.manappuram.com/events/manappuram-insurance-brokers-ltd-inaugurated-new-corporate-office</t>
    </r>
  </si>
  <si>
    <t>Zebu Share And Wealth Managements Private Limited</t>
  </si>
  <si>
    <r>
      <rPr>
        <rFont val="Rubik"/>
        <color rgb="FF1155CC"/>
        <u/>
      </rPr>
      <t>https://zebuetrade.com/insurance</t>
    </r>
  </si>
  <si>
    <t>Yes</t>
  </si>
  <si>
    <t>Pramesh Wealth Private Limited</t>
  </si>
  <si>
    <r>
      <rPr>
        <rFont val="Rubik"/>
        <color rgb="FF1155CC"/>
        <u/>
      </rPr>
      <t>https://www.prameshwealth.com/</t>
    </r>
  </si>
  <si>
    <t>Epsilon Money Mart Private Limited</t>
  </si>
  <si>
    <t>https://epsilonmoney.com/life-insurance/</t>
  </si>
  <si>
    <t>Aditya Birla Housing Finance Limited</t>
  </si>
  <si>
    <r>
      <rPr>
        <rFont val="Rubik"/>
        <color rgb="FF1155CC"/>
        <u/>
      </rPr>
      <t>https://homefinance.adityabirlacapital.com/</t>
    </r>
  </si>
  <si>
    <t>Shriram Finance Limited</t>
  </si>
  <si>
    <t>https://www.shriramfinance.in/</t>
  </si>
  <si>
    <t>Bnet Insurance Brokers Private Limited</t>
  </si>
  <si>
    <t>Policy Sansar Insurance Broking Private Limited</t>
  </si>
  <si>
    <t>https://www.policysansar.com/</t>
  </si>
  <si>
    <t>Wealthkart Insurance Broking Private Limited</t>
  </si>
  <si>
    <t>https://wealthkartinsurance.com/</t>
  </si>
  <si>
    <t>Hakani Bimasolutions Insurance Brokers Llp</t>
  </si>
  <si>
    <t>https://bimasolutions.com/</t>
  </si>
  <si>
    <t>Wealth India Financial Services Private Limited</t>
  </si>
  <si>
    <t>https://merasuraksha.com/login</t>
  </si>
  <si>
    <t>Spark Pwm Private Limited</t>
  </si>
  <si>
    <t>https://www.sparkadvisors.in/about-us</t>
  </si>
  <si>
    <t>Respo Financial Capital Private Limited</t>
  </si>
  <si>
    <t>https://respo.co.in/</t>
  </si>
  <si>
    <t>Rudra Insurance Consultant Private Limited</t>
  </si>
  <si>
    <t>http://rudrainsurance.website2.me/#about</t>
  </si>
  <si>
    <t>Balio Insurance Broking Private Limited</t>
  </si>
  <si>
    <t>https://balio.insure/</t>
  </si>
  <si>
    <t>Gopro Insurance Brokers Private Limited</t>
  </si>
  <si>
    <t>https://www.goproibpl.com/index.php</t>
  </si>
  <si>
    <t>Heute And Morgen Insurance Broker Private Limited</t>
  </si>
  <si>
    <t>https://www.heuteandmorgen.com/#</t>
  </si>
  <si>
    <t>Energise Insurance Brokers Private Limited</t>
  </si>
  <si>
    <t>https://onesure.co.in/</t>
  </si>
  <si>
    <t>Grit Insurance Brokers Private Limited</t>
  </si>
  <si>
    <t>Legacy Insurance Brokers Private Limited</t>
  </si>
  <si>
    <r>
      <rPr>
        <rFont val="Rubik"/>
        <color rgb="FF1155CC"/>
        <u/>
      </rPr>
      <t>https://libpl.com/life</t>
    </r>
  </si>
  <si>
    <t>Ashutosh Insurance Brokers Llp</t>
  </si>
  <si>
    <t>https://ashutoshfinserv.com/</t>
  </si>
  <si>
    <t>Bimaguru Insurance Brokers Private Limited</t>
  </si>
  <si>
    <t>https://www.bimaguru.in/</t>
  </si>
  <si>
    <t>Policywow Insurance Broking Pvt Ltd</t>
  </si>
  <si>
    <t>3 DIMENSIONAL INSURANCE BROKERS INDIA PVT LTD</t>
  </si>
  <si>
    <t>https://3di.co.in/</t>
  </si>
  <si>
    <t>CORPORATE RISKS INDIA INSURANCE BROKERS PVT LTD.</t>
  </si>
  <si>
    <t>https://cri.co.in/</t>
  </si>
  <si>
    <t>AIMS INSURANCE BROKING PVT LTD</t>
  </si>
  <si>
    <t>PRADEEP DUBEY</t>
  </si>
  <si>
    <t>https://aimsinsurance.in/life-insurance/</t>
  </si>
  <si>
    <t>MAHINDRA INSURANCE BROKERS LTD</t>
  </si>
  <si>
    <t>https://www.mahindrainsurancebrokers.com/</t>
  </si>
  <si>
    <t>Karnodakshayi Insurance Private Limited</t>
  </si>
  <si>
    <t>Profectus Capital Private Limited</t>
  </si>
  <si>
    <t>https://www.profectuscapital.com/</t>
  </si>
  <si>
    <t>The Tamil Nadu State Apex Co-Operative Bank Ltd.</t>
  </si>
  <si>
    <t>https://www.tnsc.bank.in/</t>
  </si>
  <si>
    <t>Varashakti Housing Finance Private Limited</t>
  </si>
  <si>
    <t>https://varashaktihousing.co.in/partners/</t>
  </si>
  <si>
    <t>Svatantra Microfin Private Limited</t>
  </si>
  <si>
    <t>https://www.svatantramicrofin.com/</t>
  </si>
  <si>
    <t>Cnvest Insurance Brokers Private Limited</t>
  </si>
  <si>
    <t>http://www.policybasket.in/</t>
  </si>
  <si>
    <t>Wmg Risk Advisory And Insurance Broking Services Private Limited</t>
  </si>
  <si>
    <t>https://wmggroup.in/</t>
  </si>
  <si>
    <t>Apna Insurance Broking Consultants India Private Limited</t>
  </si>
  <si>
    <t>https://swap.apnainsurance.in/online-term-insurance</t>
  </si>
  <si>
    <t>Skyfire Insurance Broking Llp</t>
  </si>
  <si>
    <t>https://www.skyfireinsurance.in/</t>
  </si>
  <si>
    <t>Universe Insurance Broking Private Limited</t>
  </si>
  <si>
    <t>https://universebima.com/</t>
  </si>
  <si>
    <t>Sorigin Insurance Brokers Private Limited</t>
  </si>
  <si>
    <t>https://www.sorigin.co/</t>
  </si>
  <si>
    <t>Privity Insurance Brokers Private Limited</t>
  </si>
  <si>
    <t>Vachan Insurance Broking Private Limited</t>
  </si>
  <si>
    <t>https://www.vachaninsurance.com/</t>
  </si>
  <si>
    <t>Xtratrust Insurance Brokers Private Limited</t>
  </si>
  <si>
    <t>Royal Insurance Broking India Private Limited</t>
  </si>
  <si>
    <t>https://royalinsurance.in/</t>
  </si>
  <si>
    <t>OPTIMA INSURANCE BROKERS PVT LTD</t>
  </si>
  <si>
    <t>https://optima.co.in/</t>
  </si>
  <si>
    <t>Incred Financial Services Limited</t>
  </si>
  <si>
    <t>https://www.incred.com/</t>
  </si>
  <si>
    <t>360 One Distribution Services Limited</t>
  </si>
  <si>
    <t>https://www.360.one/wealth/home</t>
  </si>
  <si>
    <t>Megatmo Insurance Ventures Llp</t>
  </si>
  <si>
    <t>Creating Advanced Financial Solutions Private Limited</t>
  </si>
  <si>
    <t>https://cafsindia.com/</t>
  </si>
  <si>
    <t>Shrinithi Insurance Broking Private Limited</t>
  </si>
  <si>
    <t>https://shrinithiinsure.com/</t>
  </si>
  <si>
    <t>59B0000000</t>
  </si>
  <si>
    <t>BAJAJ ALLIANZ FINANCIAL DISTRIBUTORS LIMITED</t>
  </si>
  <si>
    <t>Cholamandalam Securities Limited</t>
  </si>
  <si>
    <t>https://www.cholasecurities.com/</t>
  </si>
  <si>
    <t>Invest4edu Private Limited</t>
  </si>
  <si>
    <t>https://www.invest4edu.com/</t>
  </si>
  <si>
    <t>Reliance Securities Ltd</t>
  </si>
  <si>
    <t>https://www.reliancesmartmoney.com/insurance/life-insurance</t>
  </si>
  <si>
    <t>Pioneer Client Associates Private Limited</t>
  </si>
  <si>
    <t>https://clientassociates.com/</t>
  </si>
  <si>
    <t>Vulcan Insurance Services Private Limited</t>
  </si>
  <si>
    <t>https://www.vulcaninsurance.co.in/</t>
  </si>
  <si>
    <t>Manashree Insurance Brokers Private Limited</t>
  </si>
  <si>
    <t>https://manashreeins.com/</t>
  </si>
  <si>
    <t>Osl Insurance Brokers Private Limited</t>
  </si>
  <si>
    <t>https://www.oslgroup.co.in/</t>
  </si>
  <si>
    <t>Maks Insurance Broking Private Limited</t>
  </si>
  <si>
    <t>Arcss India Insurance Brokers Private Limited</t>
  </si>
  <si>
    <t>https://www.arcssindia.com/</t>
  </si>
  <si>
    <t>Mp Insurance Broking India Private Limited</t>
  </si>
  <si>
    <t>https://www.mpinsurance.in/</t>
  </si>
  <si>
    <t>Rm Insurance Broking Private Limited</t>
  </si>
  <si>
    <t>https://www.rminsurance.in/</t>
  </si>
  <si>
    <t>Ssd Insurance Brokers Private Limited</t>
  </si>
  <si>
    <t>Pulsecue Insurance Broking Private Limited</t>
  </si>
  <si>
    <t>https://pulsecue.in/index.html#</t>
  </si>
  <si>
    <t>Findynamics Insurance Brokers Private Limited</t>
  </si>
  <si>
    <t>BLUEBELLS INSURANCE BROKING PVT LTD</t>
  </si>
  <si>
    <t>https://bluebellsinsurancebroking.com/</t>
  </si>
  <si>
    <t>Policicue Insurance Brokers Private Limited</t>
  </si>
  <si>
    <t>https://www.policicue.com/</t>
  </si>
  <si>
    <t>KAN INSURANCE BROKERS PVT. LTD</t>
  </si>
  <si>
    <t>https://kaninsure.com/OurPartners.aspx</t>
  </si>
  <si>
    <t>Purple Umbrella Insurance Advisors Private Limited</t>
  </si>
  <si>
    <t>https://purpleumbrella.in/#about</t>
  </si>
  <si>
    <t>Sewa Grih Rin Limited</t>
  </si>
  <si>
    <t>https://www.sgrlimited.in/Default.aspx</t>
  </si>
  <si>
    <t>Cholamandalam Investment And Finance Company Limited</t>
  </si>
  <si>
    <t>https://www.cholamandalam.com/</t>
  </si>
  <si>
    <t>Wmg Wealth Private Limited</t>
  </si>
  <si>
    <t>https://wmgwealth.in/</t>
  </si>
  <si>
    <t>Policygrace Insurance Broking Private Limited</t>
  </si>
  <si>
    <t>https://policygrace.com/</t>
  </si>
  <si>
    <t>Migoo Insurance Brokers Private Limited</t>
  </si>
  <si>
    <t>https://migooinsurance.com/</t>
  </si>
  <si>
    <t>SECURITY INSURANCE BROKERS INDIA PRIVATE LIMITED</t>
  </si>
  <si>
    <t>Saral Insurance Broking Private Limited</t>
  </si>
  <si>
    <t>https://saralinsurancebroking.com/</t>
  </si>
  <si>
    <t>INSTAPOLICY INSURANCE BROKING PVT LTD</t>
  </si>
  <si>
    <t>https://insta-policy.com/</t>
  </si>
  <si>
    <t>SPS CONSULTANTS INSURANCE BROKERS LLP</t>
  </si>
  <si>
    <t>https://spsinsurance.in/</t>
  </si>
  <si>
    <t>Greenlife Insurance Broking Private Limited</t>
  </si>
  <si>
    <t>https://www.gibl.in/life-insurance/</t>
  </si>
  <si>
    <t>Aapt Insurance Brokers Private Limited</t>
  </si>
  <si>
    <t>Finhaat Insurance Broking Private Limited</t>
  </si>
  <si>
    <t>https://www.finhaat.com/about-us</t>
  </si>
  <si>
    <t>GLOBAL FINSOL PRIVATE LIMITED</t>
  </si>
  <si>
    <t>https://www.globalfinsol.in/</t>
  </si>
  <si>
    <t>Geojit Financial Services Limited</t>
  </si>
  <si>
    <t>https://www.geojit.com/</t>
  </si>
  <si>
    <t>Bajaj Capital Markets Limited</t>
  </si>
  <si>
    <t>https://pos.bajajcapitalinsurance.com/</t>
  </si>
  <si>
    <t>Anand Rathi Share And Stock Brokers Limited</t>
  </si>
  <si>
    <t>https://anandrathi.com/</t>
  </si>
  <si>
    <t>Uttar Pradesh Gramin Bank</t>
  </si>
  <si>
    <t>The Ahmedabad Mercantile Co-Op Bank Limited</t>
  </si>
  <si>
    <t>https://amco.bank.in/</t>
  </si>
  <si>
    <t>Namdev Finvest Private Limited</t>
  </si>
  <si>
    <t>https://www.namfin.in/about/who-we-are</t>
  </si>
  <si>
    <t>Hindustan Insurance Brokers Limited</t>
  </si>
  <si>
    <t>https://hibl.in/</t>
  </si>
  <si>
    <t>Supremacy Insurance Brokers Private Limited</t>
  </si>
  <si>
    <t>https://www.supremacyinsurance.com/</t>
  </si>
  <si>
    <t>Coverton Insurance Broking Private Limited</t>
  </si>
  <si>
    <t>https://coverton.in/</t>
  </si>
  <si>
    <t>Heritance Insurance Broking Private Limited</t>
  </si>
  <si>
    <t>https://beyondtoday.in/</t>
  </si>
  <si>
    <t>Ibexer Insurance Broking Private Limited</t>
  </si>
  <si>
    <t>https://www.ibexer.com/</t>
  </si>
  <si>
    <t>Shreerath Insurance Brokers Private Limited</t>
  </si>
  <si>
    <t>Kapalin Insurance Broking Private Limited</t>
  </si>
  <si>
    <t>https://www.capalin.com/</t>
  </si>
  <si>
    <t>Signature Insurance Brokers Private Limited</t>
  </si>
  <si>
    <t>https://www.signaturebrokers.in/</t>
  </si>
  <si>
    <t>Pcs Insurance Broking Private Limited</t>
  </si>
  <si>
    <t>https://www.pcsinsurance.co.in/</t>
  </si>
  <si>
    <t>Spectrum Insurance Broking Private Limited</t>
  </si>
  <si>
    <t>https://beemaaa.com/</t>
  </si>
  <si>
    <t>PLATINUMONE INSURANCE BROKING PRIVATE LIMITED</t>
  </si>
  <si>
    <t>ADVANCE INDIA INSURANCE BROKER SERVICES LTD</t>
  </si>
  <si>
    <t>https://advanceindiabrokers.com/index?returnUrl=%2F</t>
  </si>
  <si>
    <t>Roha Housing Finance Private Limited</t>
  </si>
  <si>
    <t>https://rohahousing.com/</t>
  </si>
  <si>
    <t>Paul Merchants Finance Private Limited</t>
  </si>
  <si>
    <t>https://www.paulmerchantsfin.com/</t>
  </si>
  <si>
    <t>Future First Insurance Broking Private Limited</t>
  </si>
  <si>
    <t>https://futurefirstindia.com/</t>
  </si>
  <si>
    <t>Vima Insurance Brokers Private Limited</t>
  </si>
  <si>
    <t>https://vimainsurance.com/</t>
  </si>
  <si>
    <t>Trustner Insurance Brokers Private Limited</t>
  </si>
  <si>
    <t>https://www.trustner.in/services/insurance-solutions</t>
  </si>
  <si>
    <t>Svojas Insurance Broking And Risk Management Services Private Limited</t>
  </si>
  <si>
    <t>https://svojasinsurancebrokers.com/</t>
  </si>
  <si>
    <t>Harita Insurance Broking Llp</t>
  </si>
  <si>
    <t>https://www.haritainsurancebroking.com/</t>
  </si>
  <si>
    <t>Jm Financial Home Loans Limited</t>
  </si>
  <si>
    <t>https://www.jmflhomeloans.com/ords/r/jmfhlwebapi/jm-financial-home-loans/home</t>
  </si>
  <si>
    <t>India Shelter Finance Corporation Limited</t>
  </si>
  <si>
    <t>https://www.indiashelter.in/</t>
  </si>
  <si>
    <t>West Bengal Gramin Bank</t>
  </si>
  <si>
    <t>https://www.wbgb.bank.in/</t>
  </si>
  <si>
    <t>Cars24 Financial Services Private Limited</t>
  </si>
  <si>
    <t>https://www.cars24.com/</t>
  </si>
  <si>
    <t>Prosales Financial Services Private Limited</t>
  </si>
  <si>
    <t>Planswell Insurance Brokers Private Limited</t>
  </si>
  <si>
    <t>https://www.planswellib.com/</t>
  </si>
  <si>
    <t>Wealthshield Insurance Brokers Private Limited</t>
  </si>
  <si>
    <t>Riskbirbal Insurance Brokers Private Limited</t>
  </si>
  <si>
    <t>https://riskbirbal.com/services/insurance-policies</t>
  </si>
  <si>
    <t>Dv Insurance Broking Private Limited</t>
  </si>
  <si>
    <t>RR INSURANCE BROKERS PVT LTD</t>
  </si>
  <si>
    <t>https://www.rrpolicy.com/</t>
  </si>
  <si>
    <t>Rajesh Chetan Insurance Brokers Private Limited</t>
  </si>
  <si>
    <t>https://bimabro.com/</t>
  </si>
  <si>
    <t>Monetic Insurance Brokers Private Limited</t>
  </si>
  <si>
    <t>The Nainital Bank Ltd</t>
  </si>
  <si>
    <t>https://www.nainitalbank.bank.in/english/home.aspx</t>
  </si>
  <si>
    <t>Andhra Pradesh Grameena Bank</t>
  </si>
  <si>
    <t>https://apgb.bank.in/</t>
  </si>
  <si>
    <t>Derisq Insurance Brokers Private Limited</t>
  </si>
  <si>
    <t>https://www.derisq.com/</t>
  </si>
  <si>
    <t>Win Insurance Brokers Llp</t>
  </si>
  <si>
    <t>https://winsurance.in/</t>
  </si>
  <si>
    <t>Metabees Insurance Brokers Private Limited</t>
  </si>
  <si>
    <t>Akshaya Insurance Brokers Private Limited</t>
  </si>
  <si>
    <t>https://akshayagroup.net/</t>
  </si>
  <si>
    <t>Apollo 24I7 Insurance Services Limited</t>
  </si>
  <si>
    <t>https://www.apollo247insurance.com/</t>
  </si>
  <si>
    <t>Devansh Insurance Broking LLP</t>
  </si>
  <si>
    <t>https://devanshinsurance.com/</t>
  </si>
  <si>
    <t>BELSTAR MICROFINANCE LIMITED</t>
  </si>
  <si>
    <t>https://belstar.in/</t>
  </si>
  <si>
    <t>COVERKRAFT INSURANCE BROKERS PRIVATE LIMITED</t>
  </si>
  <si>
    <t>https://coverkraft.com/</t>
  </si>
  <si>
    <t>FUSION FINANCE LIMITED</t>
  </si>
  <si>
    <t>https://fusionfin.com/</t>
  </si>
  <si>
    <t>ALTUM CREDO HOME FINANCE PRIVATE LIMITED</t>
  </si>
  <si>
    <t>https://altumcredo.co.in/</t>
  </si>
  <si>
    <t>ALICE BLUE FINANCIAL SERVICES PRIVATE LIMITED</t>
  </si>
  <si>
    <t>https://aliceblueonline.com/#</t>
  </si>
  <si>
    <t>ANL INSURANCE BROKING SERVICES LLP</t>
  </si>
  <si>
    <t>Arham Insurance Brokers Private Limited</t>
  </si>
  <si>
    <t>https://www.arhamshare.com/</t>
  </si>
  <si>
    <t>Bihar Gramin Bank</t>
  </si>
  <si>
    <t>Aditya Birla Capital Digital Limited</t>
  </si>
  <si>
    <t>https://www.adityabirlacapital.com/</t>
  </si>
  <si>
    <t>Ask Wealth Advisors Private Limited</t>
  </si>
  <si>
    <t>https://www.askfinancials.com/ask-group/home/</t>
  </si>
  <si>
    <t>MAHARASHTRA GRAMIN BANK</t>
  </si>
  <si>
    <t>https://www.mahagramin.in/life-insurance</t>
  </si>
  <si>
    <t>Bajaj Allied Insurance Co. Ltd</t>
  </si>
  <si>
    <t>MOTILAL OSWAL FINANCIAL SERVICES LIMITED</t>
  </si>
  <si>
    <t>https://www.motilaloswal.com/</t>
  </si>
  <si>
    <t>No</t>
  </si>
  <si>
    <t>BAJAJ CAPITAL INSURANCE BROKING LIMITED</t>
  </si>
  <si>
    <t>https://www.bajajcapitalinsurance.com/#</t>
  </si>
  <si>
    <t>ROBINHOOD INSURANCE BROKER LIMITED</t>
  </si>
  <si>
    <t>https://www.zaubacorp.com/ROBINHOOD-INSURANCE-BROKER-PRIVATE-LIMITED-U67200MH2008PTC180492</t>
  </si>
  <si>
    <t>BLUECHIP INSURANCE BROKING PRIVATE LTD</t>
  </si>
  <si>
    <t>https://bluechipindia.co.in/</t>
  </si>
  <si>
    <t>MARSH INDIA INSURANCE BROKERS PRIVATE LTD</t>
  </si>
  <si>
    <t>https://www.benefitme.co.in/</t>
  </si>
  <si>
    <t>ANAND RATHI INSURANCE BROKERS LTD</t>
  </si>
  <si>
    <t>https://anandrathiinsurance.com/group-term-life-insurance</t>
  </si>
  <si>
    <t>SALASAR SERVICES INSURANCE BROKERS PVT. LTD.</t>
  </si>
  <si>
    <t>https://www.salasarservices.com/retail/life-insurance</t>
  </si>
  <si>
    <t>TURTLEMINT INSURANCE BROKING SERVICES PVT LTD</t>
  </si>
  <si>
    <t>https://www.turtlemintinsurance.com/life-insurance-companies/bajaj-allianz-life-insurance/</t>
  </si>
  <si>
    <t>VIZZA INSURANCE BROKING SERVICES PVT LTD</t>
  </si>
  <si>
    <t>https://vizzainsurance.com/home</t>
  </si>
  <si>
    <t>MUTHOOT RISK INSURANCE &amp; BROKING SERVICES PVT. LTD</t>
  </si>
  <si>
    <t>https://muthootinsurancebrokers.com/</t>
  </si>
  <si>
    <t>ALLIANCE INSURANCE BROKERS PVT. LTD.</t>
  </si>
  <si>
    <t>https://allianceinsurance.in/</t>
  </si>
  <si>
    <t>PROBUS INSURANCE BROKER PRIVATE LIMITED</t>
  </si>
  <si>
    <t>https://www.probusinsurance.com/</t>
  </si>
  <si>
    <t>Prathama Up Gramin Bank</t>
  </si>
  <si>
    <t>https://prathamaupbank.com/InternetBanking.aspx</t>
  </si>
  <si>
    <t>Site error</t>
  </si>
  <si>
    <t>BEACON INSURANCE BROKERS PVT LTD</t>
  </si>
  <si>
    <t>https://beacon.co.in/</t>
  </si>
  <si>
    <t>NJ INSURANCE BROKERS PVT LTD</t>
  </si>
  <si>
    <t>https://www.njgroup.in/nj-insurance.php</t>
  </si>
  <si>
    <t>ARUNAYA INSURANCE BROKERS PVT LTD</t>
  </si>
  <si>
    <t>https://arunayainsurance.in/</t>
  </si>
  <si>
    <t>LIVLONG INSURANCE BROKERS LIMITED</t>
  </si>
  <si>
    <t>https://livlonginsurance.com/</t>
  </si>
  <si>
    <t>TRUSTLINE INSURANCE BROKERS PVT LTD</t>
  </si>
  <si>
    <t>https://www.trustline.in/contact</t>
  </si>
  <si>
    <t>SMC INSURANCE BROKERS PVT LTD</t>
  </si>
  <si>
    <t>https://www.smcinsurance.com/</t>
  </si>
  <si>
    <t>PROVIDENCE INDIA INSURANCE BROKING PVT LTD</t>
  </si>
  <si>
    <t>https://www.providenceindia.in/</t>
  </si>
  <si>
    <t>ZOOM INSURANCE BROKERS PVT LTD</t>
  </si>
  <si>
    <t>https://www.zoominsurancebrokers.com/</t>
  </si>
  <si>
    <t>Shift Risk Insurance Brokers Limited</t>
  </si>
  <si>
    <t>https://www.shiftrisk.com/</t>
  </si>
  <si>
    <t>SHARE INDIA INSURANCE BROKERS PVT LTD</t>
  </si>
  <si>
    <t>https://shareindiainsurance.com/retail/life</t>
  </si>
  <si>
    <t>ACCURATE RISK MANAGERS &amp; INSURANCE BROKERS PVT LTD</t>
  </si>
  <si>
    <t>https://accurateriskmanagers.com/</t>
  </si>
  <si>
    <t>CENTRUM WEALTH LTD</t>
  </si>
  <si>
    <t>https://centrumwealth.co.in/</t>
  </si>
  <si>
    <t>CAPVIRGO INSURANCE BROKING AND SERVICES PVT LTD</t>
  </si>
  <si>
    <t>https://capvirgo.co.in/</t>
  </si>
  <si>
    <t>PURPLEPOND INSURANCE BROKERS PVT LTD</t>
  </si>
  <si>
    <t>https://purplepond.in/</t>
  </si>
  <si>
    <t>A2V INSURANCE BROKERS PVT LTD</t>
  </si>
  <si>
    <r>
      <rPr>
        <rFont val="Rubik"/>
        <color rgb="FF1155CC"/>
        <u/>
      </rPr>
      <t>https://safetree.in/about-us/</t>
    </r>
  </si>
  <si>
    <t>COLOUR FUNDS INSURANCE BROKING SERVICES PVT LTD</t>
  </si>
  <si>
    <t>https://www.colourfundsinsure.com/products.html#p1</t>
  </si>
  <si>
    <t>LMV INSURANCE BROKING SERVICES PVT LTD</t>
  </si>
  <si>
    <t>https://lmvinsurancebroking.com/</t>
  </si>
  <si>
    <t>GLOBESECURE INSURANCE BROKERS PVT LTD</t>
  </si>
  <si>
    <t>https://www.globesecure.co.in/</t>
  </si>
  <si>
    <t>MUTHOOT INSURANCE BROKERS PRIVATE LIMITED</t>
  </si>
  <si>
    <t>GENNEXT INSURANCE BROKERS PVT LTD</t>
  </si>
  <si>
    <t>ACUVISOR INSURANCE BROKERS (INDIA) PVT LTD</t>
  </si>
  <si>
    <r>
      <rPr>
        <rFont val="Rubik"/>
        <color rgb="FF1155CC"/>
        <u/>
      </rPr>
      <t>https://it.acuvisor.com/</t>
    </r>
  </si>
  <si>
    <r>
      <rPr>
        <rFont val="Calibri, sans-serif"/>
        <color rgb="FF1155CC"/>
        <sz val="11.0"/>
        <u/>
      </rPr>
      <t>https://it.acuvisor.com/life-insurance?source=life-insurance-coverages - NAME REFLECTING</t>
    </r>
  </si>
  <si>
    <t>TRAILBLAZER INSURANCE BROKER PRIVATE LIMITED</t>
  </si>
  <si>
    <t>https://trailblazerinsurance.in/</t>
  </si>
  <si>
    <t>XPERITUS INSURANCE BROKERS PVT LTD</t>
  </si>
  <si>
    <r>
      <rPr>
        <rFont val="Rubik"/>
        <color rgb="FF1155CC"/>
        <u/>
      </rPr>
      <t>Xperitus</t>
    </r>
  </si>
  <si>
    <t>WEALTH GUARDIAN INSURANCE BROKERS PVT LTD</t>
  </si>
  <si>
    <r>
      <rPr>
        <rFont val="Rubik"/>
        <color rgb="FF1155CC"/>
        <u/>
      </rPr>
      <t>Wealth Guardian Insurance Broker - About Us</t>
    </r>
  </si>
  <si>
    <t>INTEGRATED INSURANCE BROKING SERVICES PVT LTD</t>
  </si>
  <si>
    <r>
      <rPr>
        <rFont val="Rubik"/>
        <color rgb="FF1155CC"/>
        <u/>
      </rPr>
      <t>I N T E G R A T E D - Insurance Portal</t>
    </r>
  </si>
  <si>
    <t>New Logo</t>
  </si>
  <si>
    <t>HOWDEN INSURANCE BROKERS INDIA PVT LTD</t>
  </si>
  <si>
    <t>https://www.howdengroup.com/in-en</t>
  </si>
  <si>
    <t>EPOCH INSURANCE BROKERS PVT LTD</t>
  </si>
  <si>
    <t>https://epochbrokers.com/index.php/admin/login</t>
  </si>
  <si>
    <t>ONLY ADMIN LOGIN</t>
  </si>
  <si>
    <t>Phonepe Insurance Broking Services Private Limited</t>
  </si>
  <si>
    <t>sss</t>
  </si>
  <si>
    <t>ORANGE CAPITAL INSURANCE BROKING PVT LTD</t>
  </si>
  <si>
    <t>https://orangecapital.co.in/</t>
  </si>
  <si>
    <t>SITE LAUNCHING SOON</t>
  </si>
  <si>
    <t>UIB INSURANCE BROKERS (INDIA) PVT LTD</t>
  </si>
  <si>
    <t>https://uibindia.com/</t>
  </si>
  <si>
    <t>JB BODA INSURANCE AND REINSURANCE BROKERS PVT LTD.,</t>
  </si>
  <si>
    <t>https://jbbodagroup.com/</t>
  </si>
  <si>
    <t>RATNAAFIN INSURANCE BROKING PVT LTD</t>
  </si>
  <si>
    <r>
      <rPr>
        <rFont val="Rubik"/>
        <color rgb="FF1155CC"/>
        <u/>
      </rPr>
      <t>https://www.ratnaafinsure.com/</t>
    </r>
  </si>
  <si>
    <t>MANAS INSURANCE BROKERS PVT LTD</t>
  </si>
  <si>
    <t>https://www.manasinsurancebrokers.com/</t>
  </si>
  <si>
    <t>INTACT INSURANCE BROKER PRIVATE LIMITED</t>
  </si>
  <si>
    <t>http://intactinsurance.co.in/</t>
  </si>
  <si>
    <t>FUTURISK INSURANCE BROKING CO PVT LTD</t>
  </si>
  <si>
    <t>https://futurisk.in/</t>
  </si>
  <si>
    <t>WESTFORD INSURANCE BROKERS AND RISK MANAGERS PVT LTD</t>
  </si>
  <si>
    <t>https://westford.co.in/</t>
  </si>
  <si>
    <t>SQUARE INSURANCE BROKERS PVT LTD</t>
  </si>
  <si>
    <t>https://www.squareinsurance.in/</t>
  </si>
  <si>
    <t>LANDMARK INSURANCE BROKERS PVT LTD</t>
  </si>
  <si>
    <t>https://www.policyboss.com/</t>
  </si>
  <si>
    <t>3WA0000009</t>
  </si>
  <si>
    <t>POLICYBAZAAR INSURANCE BROKERS PVT LTD</t>
  </si>
  <si>
    <t>https://www.policybazaar.com/?pb_source=google_brand&amp;pb_medium=ppc&amp;pb_term=%2B%E0%A4%AA%E0%A5%89%E0%A4%B2%E0%A4%BF%E0%A4%B8%E0%A5%80%20%2B%E0%A4%AC%E0%A4%BE%E0%A4%9C%E0%A4%BE%E0%A4%B0%20%2B%E0%A4%A1%E0%A5%89%E0%A4%9F%20%2B%E0%A4%95%E0%A5%89%E0%A4%AE&amp;pb_campaign=PolicyBazaar00PolicyBazaar_Hindi&amp;gad_source=1&amp;gad_campaignid=91945742&amp;gbraid=0AAAAADwVZjI19m2L0gDVcuhyMBx1iEkhO&amp;gclid=EAIaIQobChMI8MvWhIeYkQMVhH0PAh0HPg5REAAYASAAEgLaTPD_BwE</t>
  </si>
  <si>
    <t>CATALYST INSURANCE BROKERS PVT LTD</t>
  </si>
  <si>
    <t>https://catalystbrokers.com/</t>
  </si>
  <si>
    <t>RELITRADE INSURNCE BROKING PVT LTD</t>
  </si>
  <si>
    <t>https://www.relitrade.in/</t>
  </si>
  <si>
    <t>ALERT INSURANCE BROKERS PVT LTD</t>
  </si>
  <si>
    <t>https://policy99.com/</t>
  </si>
  <si>
    <t>SITE DID NOT OPEN</t>
  </si>
  <si>
    <t>BHARAT RE-INSURANCE BROKERS PRIVATE LIMITED</t>
  </si>
  <si>
    <t>https://bharatre.in/</t>
  </si>
  <si>
    <t>MAGNUM INSURANCE BROKING PVT LTD</t>
  </si>
  <si>
    <t>https://magnuminsurance.in/</t>
  </si>
  <si>
    <t>LIFEMART INSURANCE BROKERS PVT LTD</t>
  </si>
  <si>
    <t>www.myinsurancekart.com.</t>
  </si>
  <si>
    <t>LOCKTON INDIA INSURANCE BROKING AND ADVISORY LIMITED</t>
  </si>
  <si>
    <t>https://global.lockton.com/in/en</t>
  </si>
  <si>
    <t>GIRNAR INSURANCE BROKERS PVT LTD</t>
  </si>
  <si>
    <t>VISISTA INSURANCE BROKING SERVICES PVT LTD</t>
  </si>
  <si>
    <t>https://visistarisk.com/</t>
  </si>
  <si>
    <t>NUVAMA WEALTH AND INVESTMENT LIMITED</t>
  </si>
  <si>
    <r>
      <rPr>
        <rFont val="Rubik"/>
        <color rgb="FF1155CC"/>
        <u/>
      </rPr>
      <t>https://www.nuvamawealth.com/products/insurance/life-insurance</t>
    </r>
  </si>
  <si>
    <t>EFFICIENT INSURANCE BROKERS PRIVATE LTD</t>
  </si>
  <si>
    <t>https://insureefficient.com/</t>
  </si>
  <si>
    <t>Insuregram Insurance Brokers Pvt Ltd</t>
  </si>
  <si>
    <r>
      <rPr>
        <rFont val="Rubik"/>
        <color rgb="FF1155CC"/>
        <u/>
      </rPr>
      <t>https://www.insurejoy.com/term-insurance</t>
    </r>
  </si>
  <si>
    <t>AVIA INSURANCE BROKERS PVT LTD</t>
  </si>
  <si>
    <t>https://www.aviainsurance.in/</t>
  </si>
  <si>
    <t>QIAN INSURANCE BROKING LLP</t>
  </si>
  <si>
    <r>
      <rPr>
        <rFont val="Rubik"/>
        <color rgb="FF1155CC"/>
        <u/>
      </rPr>
      <t>https://www.qian.co.in/</t>
    </r>
  </si>
  <si>
    <t>UNISON INSURANCE BROKING SERVICES PVT LTD</t>
  </si>
  <si>
    <t>https://unisoninsurance.net/</t>
  </si>
  <si>
    <t>YELLA INSURANCE BROKING PVT LTD</t>
  </si>
  <si>
    <t>https://yellainsure.com/</t>
  </si>
  <si>
    <t>Iva Insurance Broking Private Limited</t>
  </si>
  <si>
    <r>
      <rPr>
        <rFont val="Rubik"/>
        <color rgb="FF1155CC"/>
        <u/>
      </rPr>
      <t>https://www.ivainsurance.com/</t>
    </r>
  </si>
  <si>
    <t>SITE BLOCKED</t>
  </si>
  <si>
    <t>Disha Capital Insurance Brokers Private Limited</t>
  </si>
  <si>
    <t>https://www.dishainsurance.com/lander</t>
  </si>
  <si>
    <t>NOT OPENING</t>
  </si>
  <si>
    <t>Impetus Insurance Brokers Private Limited</t>
  </si>
  <si>
    <t>SRG INSURANCE BROKERS (Pvt) LTD</t>
  </si>
  <si>
    <t>EF INSURANCE BROKING PVT LTD</t>
  </si>
  <si>
    <t>SITE NOT OPENING</t>
  </si>
  <si>
    <t>Sushil Insurance Brokers Private Limited</t>
  </si>
  <si>
    <t>https://www.sushilfinance.com/about</t>
  </si>
  <si>
    <t>FUND TREE INSURANCE BROKERS PRIVATE LTD</t>
  </si>
  <si>
    <t>https://www.fundtreeindia.com/index.html#Insurance</t>
  </si>
  <si>
    <t>Samavesh Insurance Brokers Private Limited</t>
  </si>
  <si>
    <t>https://samavesh.in/</t>
  </si>
  <si>
    <t>Apeejay Insurance Broking Services Private Limited</t>
  </si>
  <si>
    <t>https://www.apeejaygroup.com/apeejayInsurance.html</t>
  </si>
  <si>
    <t>ECOMONEY INSURANCE BROKERS PVT LTD</t>
  </si>
  <si>
    <t>https://alete.in/</t>
  </si>
  <si>
    <t>Vagmi Resources Private Limited</t>
  </si>
  <si>
    <t>https://vagmi.org/insurance/</t>
  </si>
  <si>
    <t>Raintree Insurance Broking Private Limited</t>
  </si>
  <si>
    <t>https://www.raintreeinsurance.in/life-insurance/</t>
  </si>
  <si>
    <t>Tvs Insurance Broking Ltd</t>
  </si>
  <si>
    <t>https://tvsinsurance.in/</t>
  </si>
  <si>
    <t>EXCELLENT INSURANCE BROKING SERVICES LIMITED</t>
  </si>
  <si>
    <t>AUM BIMA SURAKSHA BROKING PVT. LTD.</t>
  </si>
  <si>
    <t>Wisdom Insurance Broking Private Limited</t>
  </si>
  <si>
    <t>https://www.wisdominsurance.in/</t>
  </si>
  <si>
    <t>Page under maintainance</t>
  </si>
  <si>
    <t>Zopper Insurance Brokers Private Limited</t>
  </si>
  <si>
    <t>https://www.zopperinsurance.com/</t>
  </si>
  <si>
    <t>Novo Insurance Broking Services Private Limited</t>
  </si>
  <si>
    <t>https://www.novoinsure.com/</t>
  </si>
  <si>
    <t>Nirmal Bang Insurance Broking Private Limited</t>
  </si>
  <si>
    <t>https://nbinsurance.in/</t>
  </si>
  <si>
    <t>Sipany Ss Insurance Brokers Llp</t>
  </si>
  <si>
    <t>Religare Broking Limited</t>
  </si>
  <si>
    <t>https://www.religareonline.com/products/life-insurance/</t>
  </si>
  <si>
    <t>AUM INSURANCE BROKERS PVT LTD</t>
  </si>
  <si>
    <t>https://www.auminsurancebrokers.com/</t>
  </si>
  <si>
    <t>Ensureti Insurance Broking Private Limited</t>
  </si>
  <si>
    <t>https://policynation.com/</t>
  </si>
  <si>
    <t>Bimasansar Insurance Broking Private Limited</t>
  </si>
  <si>
    <t>https://mybimasansar.com/</t>
  </si>
  <si>
    <t>CAPITAL SQUARE INSURANCE BROKERS PRIVATE LTD</t>
  </si>
  <si>
    <t>https://capitalsquare.in/service/insurance-broking/</t>
  </si>
  <si>
    <t>Jubiliant Insurance Broking Services Private Limited</t>
  </si>
  <si>
    <t>https://www.jubiliant.co.in/</t>
  </si>
  <si>
    <t>Doha Bank Qpsc</t>
  </si>
  <si>
    <t>https://in.dohabank.com/nri-banking/wealth-management-solutions/life-insurance/</t>
  </si>
  <si>
    <t>SAMMAAN CAPITAL LIMITED</t>
  </si>
  <si>
    <t>https://www.sammaancapital.com/</t>
  </si>
  <si>
    <t>Armourr Insurance Broking Private Limited</t>
  </si>
  <si>
    <t>https://armourrinsurance.com/</t>
  </si>
  <si>
    <t>Drv Insurance Brokers Private Limited</t>
  </si>
  <si>
    <t>https://drvindia.com/</t>
  </si>
  <si>
    <t>PL WEALTH PRIVATE LIMITED</t>
  </si>
  <si>
    <t>https://plinsurance.co.in/</t>
  </si>
  <si>
    <t>Smart Protect Goal</t>
  </si>
  <si>
    <t>#</t>
  </si>
  <si>
    <t>Original URL / Domain</t>
  </si>
  <si>
    <t>Clean Domain</t>
  </si>
  <si>
    <t>Search Query</t>
  </si>
  <si>
    <t>Google Search Link</t>
  </si>
  <si>
    <t>bandhan.bank.in</t>
  </si>
  <si>
    <t>site:bandhan.bank.in "bajaj allianz life"</t>
  </si>
  <si>
    <t>kvb.bank.in</t>
  </si>
  <si>
    <t>site:kvb.bank.in "bajaj allianz life"</t>
  </si>
  <si>
    <t>cityunionbank.bank.in</t>
  </si>
  <si>
    <t>site:cityunionbank.bank.in "bajaj allianz life"</t>
  </si>
  <si>
    <t>tmb.bank.in</t>
  </si>
  <si>
    <t>site:tmb.bank.in "bajaj allianz life"</t>
  </si>
  <si>
    <t>equitas.bank.in</t>
  </si>
  <si>
    <t>site:equitas.bank.in "bajaj allianz life"</t>
  </si>
  <si>
    <t>fincharts.co.in</t>
  </si>
  <si>
    <t>site:fincharts.co.in "bajaj allianz life"</t>
  </si>
  <si>
    <t>dolphininsurance.in</t>
  </si>
  <si>
    <t>site:dolphininsurance.in "bajaj allianz life"</t>
  </si>
  <si>
    <t>crci.in</t>
  </si>
  <si>
    <t>site:crci.in "bajaj allianz life"</t>
  </si>
  <si>
    <t>infinainsure.com</t>
  </si>
  <si>
    <t>site:infinainsure.com "bajaj allianz life"</t>
  </si>
  <si>
    <t>samyagbroking.com</t>
  </si>
  <si>
    <t>site:samyagbroking.com "bajaj allianz life"</t>
  </si>
  <si>
    <t>ensigninsuranceltd.com</t>
  </si>
  <si>
    <t>site:ensigninsuranceltd.com "bajaj allianz life"</t>
  </si>
  <si>
    <t>pincinsurance.com</t>
  </si>
  <si>
    <t>site:pincinsurance.com "bajaj allianz life"</t>
  </si>
  <si>
    <t>pos.veritasins.com</t>
  </si>
  <si>
    <t>site:pos.veritasins.com "bajaj allianz life"</t>
  </si>
  <si>
    <t>instaraksha.com</t>
  </si>
  <si>
    <t>site:instaraksha.com "bajaj allianz life"</t>
  </si>
  <si>
    <t>trothinsurance.com</t>
  </si>
  <si>
    <t>site:trothinsurance.com "bajaj allianz life"</t>
  </si>
  <si>
    <t>phillipservices.com</t>
  </si>
  <si>
    <t>site:phillipservices.com "bajaj allianz life"</t>
  </si>
  <si>
    <t>superfinserv.com</t>
  </si>
  <si>
    <t>site:superfinserv.com "bajaj allianz life"</t>
  </si>
  <si>
    <t>odininsurance.com</t>
  </si>
  <si>
    <t>site:odininsurance.com "bajaj allianz life"</t>
  </si>
  <si>
    <t>insurance4life.in</t>
  </si>
  <si>
    <t>site:insurance4life.in "bajaj allianz life"</t>
  </si>
  <si>
    <t>bimabrothers.com</t>
  </si>
  <si>
    <t>site:bimabrothers.com "bajaj allianz life"</t>
  </si>
  <si>
    <t>moneyfrog.in</t>
  </si>
  <si>
    <t>site:moneyfrog.in "bajaj allianz life"</t>
  </si>
  <si>
    <t>lambach.in</t>
  </si>
  <si>
    <t>site:lambach.in "bajaj allianz life"</t>
  </si>
  <si>
    <t>insurancejarurihe.com</t>
  </si>
  <si>
    <t>site:insurancejarurihe.com "bajaj allianz life"</t>
  </si>
  <si>
    <t>irminsurance.in</t>
  </si>
  <si>
    <t>site:irminsurance.in "bajaj allianz life"</t>
  </si>
  <si>
    <t>reliassure.in</t>
  </si>
  <si>
    <t>site:reliassure.in "bajaj allianz life"</t>
  </si>
  <si>
    <t>reviewrisk.com</t>
  </si>
  <si>
    <t>site:reviewrisk.com "bajaj allianz life"</t>
  </si>
  <si>
    <t>spacapital.com</t>
  </si>
  <si>
    <t>site:spacapital.com "bajaj allianz life"</t>
  </si>
  <si>
    <t>bewealthy.co.in</t>
  </si>
  <si>
    <t>site:bewealthy.co.in "bajaj allianz life"</t>
  </si>
  <si>
    <t>policyx.com</t>
  </si>
  <si>
    <t>site:policyx.com "bajaj allianz life"</t>
  </si>
  <si>
    <t>paytminsurance.co.in</t>
  </si>
  <si>
    <t>site:paytminsurance.co.in "bajaj allianz life"</t>
  </si>
  <si>
    <t>regalinsurancebrokers.com</t>
  </si>
  <si>
    <t>site:regalinsurancebrokers.com "bajaj allianz life"</t>
  </si>
  <si>
    <t>torqueinsure.com</t>
  </si>
  <si>
    <t>site:torqueinsure.com "bajaj allianz life"</t>
  </si>
  <si>
    <t>aryavinsurance.com</t>
  </si>
  <si>
    <t>site:aryavinsurance.com "bajaj allianz life"</t>
  </si>
  <si>
    <t>paavanains.co.in</t>
  </si>
  <si>
    <t>site:paavanains.co.in "bajaj allianz life"</t>
  </si>
  <si>
    <t>app.gintejainsurance.com</t>
  </si>
  <si>
    <t>site:app.gintejainsurance.com "bajaj allianz life"</t>
  </si>
  <si>
    <t>insurenearby.in</t>
  </si>
  <si>
    <t>site:insurenearby.in "bajaj allianz life"</t>
  </si>
  <si>
    <t>prudentbrokers.com</t>
  </si>
  <si>
    <t>site:prudentbrokers.com "bajaj allianz life"</t>
  </si>
  <si>
    <t>coverfox.com</t>
  </si>
  <si>
    <t>site:coverfox.com "bajaj allianz life"</t>
  </si>
  <si>
    <t>covermitra.com</t>
  </si>
  <si>
    <t>site:covermitra.com "bajaj allianz life"</t>
  </si>
  <si>
    <t>indmoney.com</t>
  </si>
  <si>
    <t>site:indmoney.com "bajaj allianz life"</t>
  </si>
  <si>
    <t>ajg.com</t>
  </si>
  <si>
    <t>site:ajg.com "bajaj allianz life"</t>
  </si>
  <si>
    <t>policypoint.co</t>
  </si>
  <si>
    <t>site:policypoint.co "bajaj allianz life"</t>
  </si>
  <si>
    <t>vittachayainsurance.com</t>
  </si>
  <si>
    <t>site:vittachayainsurance.com "bajaj allianz life"</t>
  </si>
  <si>
    <t>novabroking.com</t>
  </si>
  <si>
    <t>site:novabroking.com "bajaj allianz life"</t>
  </si>
  <si>
    <t>alacrityib.in</t>
  </si>
  <si>
    <t>site:alacrityib.in "bajaj allianz life"</t>
  </si>
  <si>
    <t>wealthy.in</t>
  </si>
  <si>
    <t>site:wealthy.in "bajaj allianz life"</t>
  </si>
  <si>
    <t>vibeins.com</t>
  </si>
  <si>
    <t>site:vibeins.com "bajaj allianz life"</t>
  </si>
  <si>
    <t>fisdom.com</t>
  </si>
  <si>
    <t>site:fisdom.com "bajaj allianz life"</t>
  </si>
  <si>
    <t>srassociate.co.in</t>
  </si>
  <si>
    <t>site:srassociate.co.in "bajaj allianz life"</t>
  </si>
  <si>
    <t>m.assetplus.in</t>
  </si>
  <si>
    <t>site:m.assetplus.in "bajaj allianz life"</t>
  </si>
  <si>
    <t>healthysure.in</t>
  </si>
  <si>
    <t>site:healthysure.in "bajaj allianz life"</t>
  </si>
  <si>
    <t>securus.in</t>
  </si>
  <si>
    <t>site:securus.in "bajaj allianz life"</t>
  </si>
  <si>
    <t>ethika.co.in</t>
  </si>
  <si>
    <t>site:ethika.co.in "bajaj allianz life"</t>
  </si>
  <si>
    <t>peraj.com</t>
  </si>
  <si>
    <t>site:peraj.com "bajaj allianz life"</t>
  </si>
  <si>
    <t>bharatbhushaninsurance.com</t>
  </si>
  <si>
    <t>site:bharatbhushaninsurance.com "bajaj allianz life"</t>
  </si>
  <si>
    <t>policyera.com</t>
  </si>
  <si>
    <t>site:policyera.com "bajaj allianz life"</t>
  </si>
  <si>
    <t>aceinsuranceindia.com</t>
  </si>
  <si>
    <t>site:aceinsuranceindia.com "bajaj allianz life"</t>
  </si>
  <si>
    <t>edifybrokers.com</t>
  </si>
  <si>
    <t>site:edifybrokers.com "bajaj allianz life"</t>
  </si>
  <si>
    <t>centrum.co.in</t>
  </si>
  <si>
    <t>site:centrum.co.in "bajaj allianz life"</t>
  </si>
  <si>
    <t>cmsinsurancebrokers.com</t>
  </si>
  <si>
    <t>site:cmsinsurancebrokers.com "bajaj allianz life"</t>
  </si>
  <si>
    <t>sixthsenseinsurance.com</t>
  </si>
  <si>
    <t>site:sixthsenseinsurance.com "bajaj allianz life"</t>
  </si>
  <si>
    <t>bimapunj.com</t>
  </si>
  <si>
    <t>site:bimapunj.com "bajaj allianz life"</t>
  </si>
  <si>
    <t>advancelifeinsurance.in</t>
  </si>
  <si>
    <t>site:advancelifeinsurance.in "bajaj allianz life"</t>
  </si>
  <si>
    <t>tatacapital.com</t>
  </si>
  <si>
    <t>site:tatacapital.com "bajaj allianz life"</t>
  </si>
  <si>
    <t>finnovate.in</t>
  </si>
  <si>
    <t>site:finnovate.in "bajaj allianz life"</t>
  </si>
  <si>
    <t>joinditto.in</t>
  </si>
  <si>
    <t>site:joinditto.in "bajaj allianz life"</t>
  </si>
  <si>
    <t>palminsurance.in</t>
  </si>
  <si>
    <t>site:palminsurance.in "bajaj allianz life"</t>
  </si>
  <si>
    <t>pazcare.com</t>
  </si>
  <si>
    <t>site:pazcare.com "bajaj allianz life"</t>
  </si>
  <si>
    <t>oneassure.in</t>
  </si>
  <si>
    <t>site:oneassure.in "bajaj allianz life"</t>
  </si>
  <si>
    <t>indusind.bank.in</t>
  </si>
  <si>
    <t>site:indusind.bank.in "bajaj allianz life"</t>
  </si>
  <si>
    <t>easyhomefinance.in</t>
  </si>
  <si>
    <t>site:easyhomefinance.in "bajaj allianz life"</t>
  </si>
  <si>
    <t>karnatakabank.bank.in</t>
  </si>
  <si>
    <t>site:karnatakabank.bank.in "bajaj allianz life"</t>
  </si>
  <si>
    <t>gosreefinance.com</t>
  </si>
  <si>
    <t>site:gosreefinance.com "bajaj allianz life"</t>
  </si>
  <si>
    <t>akshayawealth.com</t>
  </si>
  <si>
    <t>site:akshayawealth.com "bajaj allianz life"</t>
  </si>
  <si>
    <t>dmtkendra.com</t>
  </si>
  <si>
    <t>site:dmtkendra.com "bajaj allianz life"</t>
  </si>
  <si>
    <t>righthorizons.com</t>
  </si>
  <si>
    <t>site:righthorizons.com "bajaj allianz life"</t>
  </si>
  <si>
    <t>aon.com</t>
  </si>
  <si>
    <t>site:aon.com "bajaj allianz life"</t>
  </si>
  <si>
    <t>pmpib.com</t>
  </si>
  <si>
    <t>site:pmpib.com "bajaj allianz life"</t>
  </si>
  <si>
    <t>peerless.co.in</t>
  </si>
  <si>
    <t>site:peerless.co.in "bajaj allianz life"</t>
  </si>
  <si>
    <t>sarvagram.com</t>
  </si>
  <si>
    <t>site:sarvagram.com "bajaj allianz life"</t>
  </si>
  <si>
    <t>coversure.in</t>
  </si>
  <si>
    <t>site:coversure.in "bajaj allianz life"</t>
  </si>
  <si>
    <t>bajajhousingfinance.in</t>
  </si>
  <si>
    <t>site:bajajhousingfinance.in "bajaj allianz life"</t>
  </si>
  <si>
    <t>rioninsura.com</t>
  </si>
  <si>
    <t>site:rioninsura.com "bajaj allianz life"</t>
  </si>
  <si>
    <t>hudsoninsgroup.com</t>
  </si>
  <si>
    <t>site:hudsoninsgroup.com "bajaj allianz life"</t>
  </si>
  <si>
    <t>unilight.in</t>
  </si>
  <si>
    <t>site:unilight.in "bajaj allianz life"</t>
  </si>
  <si>
    <t>prudentcorporate.com</t>
  </si>
  <si>
    <t>site:prudentcorporate.com "bajaj allianz life"</t>
  </si>
  <si>
    <t>apurban.com</t>
  </si>
  <si>
    <t>site:apurban.com "bajaj allianz life"</t>
  </si>
  <si>
    <t>securenow.in</t>
  </si>
  <si>
    <t>site:securenow.in "bajaj allianz life"</t>
  </si>
  <si>
    <t>anticinsurance.in</t>
  </si>
  <si>
    <t>site:anticinsurance.in "bajaj allianz life"</t>
  </si>
  <si>
    <t>kwasaninsurance.com</t>
  </si>
  <si>
    <t>site:kwasaninsurance.com "bajaj allianz life"</t>
  </si>
  <si>
    <t>ltfinance.com</t>
  </si>
  <si>
    <t>site:ltfinance.com "bajaj allianz life"</t>
  </si>
  <si>
    <t>thukralcapital.com</t>
  </si>
  <si>
    <t>site:thukralcapital.com "bajaj allianz life"</t>
  </si>
  <si>
    <t>bajajfinserv.in</t>
  </si>
  <si>
    <t>site:bajajfinserv.in "bajaj allianz life"</t>
  </si>
  <si>
    <t>dhanbank.com</t>
  </si>
  <si>
    <t>site:dhanbank.com "bajaj allianz life"</t>
  </si>
  <si>
    <t>svc.bank.in</t>
  </si>
  <si>
    <t>site:svc.bank.in "bajaj allianz life"</t>
  </si>
  <si>
    <t>jana.bank.in</t>
  </si>
  <si>
    <t>site:jana.bank.in "bajaj allianz life"</t>
  </si>
  <si>
    <t>esaf.bank.in</t>
  </si>
  <si>
    <t>site:esaf.bank.in "bajaj allianz life"</t>
  </si>
  <si>
    <t>shivalik.bank.in</t>
  </si>
  <si>
    <t>site:shivalik.bank.in "bajaj allianz life"</t>
  </si>
  <si>
    <t>au.bank.in</t>
  </si>
  <si>
    <t>site:au.bank.in "bajaj allianz life"</t>
  </si>
  <si>
    <t>southindianbank.bank.in</t>
  </si>
  <si>
    <t>site:southindianbank.bank.in "bajaj allianz life"</t>
  </si>
  <si>
    <t>federal.bank.in</t>
  </si>
  <si>
    <t>site:federal.bank.in "bajaj allianz life"</t>
  </si>
  <si>
    <t>ujjivansfb.bank.in</t>
  </si>
  <si>
    <t>site:ujjivansfb.bank.in "bajaj allianz life"</t>
  </si>
  <si>
    <t>nkgsb-bank.com</t>
  </si>
  <si>
    <t>site:nkgsb-bank.com "bajaj allianz life"</t>
  </si>
  <si>
    <t>familyraksha.com</t>
  </si>
  <si>
    <t>site:familyraksha.com "bajaj allianz life"</t>
  </si>
  <si>
    <t>navnitinsurance.com</t>
  </si>
  <si>
    <t>site:navnitinsurance.com "bajaj allianz life"</t>
  </si>
  <si>
    <t>bimavima.com</t>
  </si>
  <si>
    <t>site:bimavima.com "bajaj allianz life"</t>
  </si>
  <si>
    <t>fortunefive.in</t>
  </si>
  <si>
    <t>site:fortunefive.in "bajaj allianz life"</t>
  </si>
  <si>
    <t>goinsureindia.com</t>
  </si>
  <si>
    <t>site:goinsureindia.com "bajaj allianz life"</t>
  </si>
  <si>
    <t>beema1.com</t>
  </si>
  <si>
    <t>site:beema1.com "bajaj allianz life"</t>
  </si>
  <si>
    <t>neoinsurance.co.in</t>
  </si>
  <si>
    <t>site:neoinsurance.co.in "bajaj allianz life"</t>
  </si>
  <si>
    <t>iiflhomeloans.com</t>
  </si>
  <si>
    <t>site:iiflhomeloans.com "bajaj allianz life"</t>
  </si>
  <si>
    <t>arohan.in</t>
  </si>
  <si>
    <t>site:arohan.in "bajaj allianz life"</t>
  </si>
  <si>
    <t>superpolicy.in</t>
  </si>
  <si>
    <t>site:superpolicy.in "bajaj allianz life"</t>
  </si>
  <si>
    <t>pibinsurance.in</t>
  </si>
  <si>
    <t>site:pibinsurance.in "bajaj allianz life"</t>
  </si>
  <si>
    <t>bimamandi.in</t>
  </si>
  <si>
    <t>site:bimamandi.in "bajaj allianz life"</t>
  </si>
  <si>
    <t>bajajfinservdirect.in</t>
  </si>
  <si>
    <t>site:bajajfinservdirect.in "bajaj allianz life"</t>
  </si>
  <si>
    <t>choiceindia.com</t>
  </si>
  <si>
    <t>site:choiceindia.com "bajaj allianz life"</t>
  </si>
  <si>
    <t>edmeinsurance.com</t>
  </si>
  <si>
    <t>site:edmeinsurance.com "bajaj allianz life"</t>
  </si>
  <si>
    <t>plumhq.com</t>
  </si>
  <si>
    <t>site:plumhq.com "bajaj allianz life"</t>
  </si>
  <si>
    <t>secureezy.com</t>
  </si>
  <si>
    <t>site:secureezy.com "bajaj allianz life"</t>
  </si>
  <si>
    <t>takemyinsurance.com</t>
  </si>
  <si>
    <t>site:takemyinsurance.com "bajaj allianz life"</t>
  </si>
  <si>
    <t>lifeandgeneral.com</t>
  </si>
  <si>
    <t>site:lifeandgeneral.com "bajaj allianz life"</t>
  </si>
  <si>
    <t>muthootmicrofin.com</t>
  </si>
  <si>
    <t>site:muthootmicrofin.com "bajaj allianz life"</t>
  </si>
  <si>
    <t>kmdastur.com</t>
  </si>
  <si>
    <t>site:kmdastur.com "bajaj allianz life"</t>
  </si>
  <si>
    <t>aapkapolicywala.com</t>
  </si>
  <si>
    <t>site:aapkapolicywala.com "bajaj allianz life"</t>
  </si>
  <si>
    <t>capriglobal.in</t>
  </si>
  <si>
    <t>site:capriglobal.in "bajaj allianz life"</t>
  </si>
  <si>
    <t>tatamotorsinsurancebrokers.com</t>
  </si>
  <si>
    <t>site:tatamotorsinsurancebrokers.com "bajaj allianz life"</t>
  </si>
  <si>
    <t>rakshamitra.com</t>
  </si>
  <si>
    <t>site:rakshamitra.com "bajaj allianz life"</t>
  </si>
  <si>
    <t>nhanceindia.in</t>
  </si>
  <si>
    <t>site:nhanceindia.in "bajaj allianz life"</t>
  </si>
  <si>
    <t>insurancemanager.com</t>
  </si>
  <si>
    <t>site:insurancemanager.com "bajaj allianz life"</t>
  </si>
  <si>
    <t>telosrisk.com</t>
  </si>
  <si>
    <t>site:telosrisk.com "bajaj allianz life"</t>
  </si>
  <si>
    <t>igniteinsurancebroking.com</t>
  </si>
  <si>
    <t>site:igniteinsurancebroking.com "bajaj allianz life"</t>
  </si>
  <si>
    <t>premiainsurance.in</t>
  </si>
  <si>
    <t>site:premiainsurance.in "bajaj allianz life"</t>
  </si>
  <si>
    <t>aibl.in</t>
  </si>
  <si>
    <t>site:aibl.in "bajaj allianz life"</t>
  </si>
  <si>
    <t>nabfins.org</t>
  </si>
  <si>
    <t>site:nabfins.org "bajaj allianz life"</t>
  </si>
  <si>
    <t>adityabirlamoney.com</t>
  </si>
  <si>
    <t>site:adityabirlamoney.com "bajaj allianz life"</t>
  </si>
  <si>
    <t>in.policy.online</t>
  </si>
  <si>
    <t>site:in.policy.online "bajaj allianz life"</t>
  </si>
  <si>
    <t>sriyah.in</t>
  </si>
  <si>
    <t>site:sriyah.in "bajaj allianz life"</t>
  </si>
  <si>
    <t>way2wealth.com</t>
  </si>
  <si>
    <t>site:way2wealth.com "bajaj allianz life"</t>
  </si>
  <si>
    <t>loophealth.com</t>
  </si>
  <si>
    <t>site:loophealth.com "bajaj allianz life"</t>
  </si>
  <si>
    <t>tamarindinsurance.com</t>
  </si>
  <si>
    <t>site:tamarindinsurance.com "bajaj allianz life"</t>
  </si>
  <si>
    <t>posp.policyplanner.com</t>
  </si>
  <si>
    <t>site:posp.policyplanner.com "bajaj allianz life"</t>
  </si>
  <si>
    <t>bimaguide.com</t>
  </si>
  <si>
    <t>site:bimaguide.com "bajaj allianz life"</t>
  </si>
  <si>
    <t>sssriskmanagement.com</t>
  </si>
  <si>
    <t>site:sssriskmanagement.com "bajaj allianz life"</t>
  </si>
  <si>
    <t>upstox.com</t>
  </si>
  <si>
    <t>site:upstox.com "bajaj allianz life"</t>
  </si>
  <si>
    <t>eclfinance.edelweissfin.com</t>
  </si>
  <si>
    <t>site:eclfinance.edelweissfin.com "bajaj allianz life"</t>
  </si>
  <si>
    <t>nidohomefin.com</t>
  </si>
  <si>
    <t>site:nidohomefin.com "bajaj allianz life"</t>
  </si>
  <si>
    <t>ubgb.in</t>
  </si>
  <si>
    <t>site:ubgb.in "bajaj allianz life"</t>
  </si>
  <si>
    <t>inditrade.com</t>
  </si>
  <si>
    <t>site:inditrade.com "bajaj allianz life"</t>
  </si>
  <si>
    <t>ntrust.co.in</t>
  </si>
  <si>
    <t>site:ntrust.co.in "bajaj allianz life"</t>
  </si>
  <si>
    <t>raghnall.co.in</t>
  </si>
  <si>
    <t>site:raghnall.co.in "bajaj allianz life"</t>
  </si>
  <si>
    <t>kausalyam.com</t>
  </si>
  <si>
    <t>site:kausalyam.com "bajaj allianz life"</t>
  </si>
  <si>
    <t>axis.bank.in</t>
  </si>
  <si>
    <t>site:axis.bank.in "bajaj allianz life"</t>
  </si>
  <si>
    <t>rbl.bank.in</t>
  </si>
  <si>
    <t>site:rbl.bank.in "bajaj allianz life"</t>
  </si>
  <si>
    <t>idfcfirst.bank.in</t>
  </si>
  <si>
    <t>site:idfcfirst.bank.in "bajaj allianz life"</t>
  </si>
  <si>
    <t>dbs.bank.in</t>
  </si>
  <si>
    <t>site:dbs.bank.in "bajaj allianz life"</t>
  </si>
  <si>
    <t>punjabandsind.bank.in</t>
  </si>
  <si>
    <t>site:punjabandsind.bank.in "bajaj allianz life"</t>
  </si>
  <si>
    <t>jkb.bank.in</t>
  </si>
  <si>
    <t>site:jkb.bank.in "bajaj allianz life"</t>
  </si>
  <si>
    <t>yes.bank.in</t>
  </si>
  <si>
    <t>site:yes.bank.in "bajaj allianz life"</t>
  </si>
  <si>
    <t>manappuram.com</t>
  </si>
  <si>
    <t>site:manappuram.com "bajaj allianz life"</t>
  </si>
  <si>
    <t>zebuetrade.com</t>
  </si>
  <si>
    <t>site:zebuetrade.com "bajaj allianz life"</t>
  </si>
  <si>
    <t>prameshwealth.com</t>
  </si>
  <si>
    <t>site:prameshwealth.com "bajaj allianz life"</t>
  </si>
  <si>
    <t>epsilonmoney.com</t>
  </si>
  <si>
    <t>site:epsilonmoney.com "bajaj allianz life"</t>
  </si>
  <si>
    <t>homefinance.adityabirlacapital.com</t>
  </si>
  <si>
    <t>site:homefinance.adityabirlacapital.com "bajaj allianz life"</t>
  </si>
  <si>
    <t>shriramfinance.in</t>
  </si>
  <si>
    <t>site:shriramfinance.in "bajaj allianz life"</t>
  </si>
  <si>
    <t>policysansar.com</t>
  </si>
  <si>
    <t>site:policysansar.com "bajaj allianz life"</t>
  </si>
  <si>
    <t>wealthkartinsurance.com</t>
  </si>
  <si>
    <t>site:wealthkartinsurance.com "bajaj allianz life"</t>
  </si>
  <si>
    <t>bimasolutions.com</t>
  </si>
  <si>
    <t>site:bimasolutions.com "bajaj allianz life"</t>
  </si>
  <si>
    <t>merasuraksha.com</t>
  </si>
  <si>
    <t>site:merasuraksha.com "bajaj allianz life"</t>
  </si>
  <si>
    <t>sparkadvisors.in</t>
  </si>
  <si>
    <t>site:sparkadvisors.in "bajaj allianz life"</t>
  </si>
  <si>
    <t>respo.co.in</t>
  </si>
  <si>
    <t>site:respo.co.in "bajaj allianz life"</t>
  </si>
  <si>
    <t>rudrainsurance.website2.me</t>
  </si>
  <si>
    <t>site:rudrainsurance.website2.me "bajaj allianz life"</t>
  </si>
  <si>
    <t>balio.insure</t>
  </si>
  <si>
    <t>site:balio.insure "bajaj allianz life"</t>
  </si>
  <si>
    <t>goproibpl.com</t>
  </si>
  <si>
    <t>site:goproibpl.com "bajaj allianz life"</t>
  </si>
  <si>
    <t>heuteandmorgen.com</t>
  </si>
  <si>
    <t>site:heuteandmorgen.com "bajaj allianz life"</t>
  </si>
  <si>
    <t>onesure.co.in</t>
  </si>
  <si>
    <t>site:onesure.co.in "bajaj allianz life"</t>
  </si>
  <si>
    <t>libpl.com</t>
  </si>
  <si>
    <t>site:libpl.com "bajaj allianz life"</t>
  </si>
  <si>
    <t>ashutoshfinserv.com</t>
  </si>
  <si>
    <t>site:ashutoshfinserv.com "bajaj allianz life"</t>
  </si>
  <si>
    <t>bimaguru.in</t>
  </si>
  <si>
    <t>site:bimaguru.in "bajaj allianz life"</t>
  </si>
  <si>
    <t>3di.co.in</t>
  </si>
  <si>
    <t>site:3di.co.in "bajaj allianz life"</t>
  </si>
  <si>
    <t>cri.co.in</t>
  </si>
  <si>
    <t>site:cri.co.in "bajaj allianz life"</t>
  </si>
  <si>
    <t>aimsinsurance.in</t>
  </si>
  <si>
    <t>site:aimsinsurance.in "bajaj allianz life"</t>
  </si>
  <si>
    <t>mahindrainsurancebrokers.com</t>
  </si>
  <si>
    <t>site:mahindrainsurancebrokers.com "bajaj allianz life"</t>
  </si>
  <si>
    <t>profectuscapital.com</t>
  </si>
  <si>
    <t>site:profectuscapital.com "bajaj allianz life"</t>
  </si>
  <si>
    <t>tnsc.bank.in</t>
  </si>
  <si>
    <t>site:tnsc.bank.in "bajaj allianz life"</t>
  </si>
  <si>
    <t>varashaktihousing.co.in</t>
  </si>
  <si>
    <t>site:varashaktihousing.co.in "bajaj allianz life"</t>
  </si>
  <si>
    <t>svatantramicrofin.com</t>
  </si>
  <si>
    <t>site:svatantramicrofin.com "bajaj allianz life"</t>
  </si>
  <si>
    <t>policybasket.in</t>
  </si>
  <si>
    <t>site:policybasket.in "bajaj allianz life"</t>
  </si>
  <si>
    <t>wmggroup.in</t>
  </si>
  <si>
    <t>site:wmggroup.in "bajaj allianz life"</t>
  </si>
  <si>
    <t>swap.apnainsurance.in</t>
  </si>
  <si>
    <t>site:swap.apnainsurance.in "bajaj allianz life"</t>
  </si>
  <si>
    <t>skyfireinsurance.in</t>
  </si>
  <si>
    <t>site:skyfireinsurance.in "bajaj allianz life"</t>
  </si>
  <si>
    <t>universebima.com</t>
  </si>
  <si>
    <t>site:universebima.com "bajaj allianz life"</t>
  </si>
  <si>
    <t>sorigin.co</t>
  </si>
  <si>
    <t>site:sorigin.co "bajaj allianz life"</t>
  </si>
  <si>
    <t>vachaninsurance.com</t>
  </si>
  <si>
    <t>site:vachaninsurance.com "bajaj allianz life"</t>
  </si>
  <si>
    <t>royalinsurance.in</t>
  </si>
  <si>
    <t>site:royalinsurance.in "bajaj allianz life"</t>
  </si>
  <si>
    <t>optima.co.in</t>
  </si>
  <si>
    <t>site:optima.co.in "bajaj allianz life"</t>
  </si>
  <si>
    <t>incred.com</t>
  </si>
  <si>
    <t>site:incred.com "bajaj allianz life"</t>
  </si>
  <si>
    <t>360.one</t>
  </si>
  <si>
    <t>site:360.one "bajaj allianz life"</t>
  </si>
  <si>
    <t>cafsindia.com</t>
  </si>
  <si>
    <t>site:cafsindia.com "bajaj allianz life"</t>
  </si>
  <si>
    <t>shrinithiinsure.com</t>
  </si>
  <si>
    <t>site:shrinithiinsure.com "bajaj allianz life"</t>
  </si>
  <si>
    <t>cholasecurities.com</t>
  </si>
  <si>
    <t>site:cholasecurities.com "bajaj allianz life"</t>
  </si>
  <si>
    <t>invest4edu.com</t>
  </si>
  <si>
    <t>site:invest4edu.com "bajaj allianz life"</t>
  </si>
  <si>
    <t>reliancesmartmoney.com</t>
  </si>
  <si>
    <t>site:reliancesmartmoney.com "bajaj allianz life"</t>
  </si>
  <si>
    <t>clientassociates.com</t>
  </si>
  <si>
    <t>site:clientassociates.com "bajaj allianz life"</t>
  </si>
  <si>
    <t>vulcaninsurance.co.in</t>
  </si>
  <si>
    <t>site:vulcaninsurance.co.in "bajaj allianz life"</t>
  </si>
  <si>
    <t>manashreeins.com</t>
  </si>
  <si>
    <t>site:manashreeins.com "bajaj allianz life"</t>
  </si>
  <si>
    <t>oslgroup.co.in</t>
  </si>
  <si>
    <t>site:oslgroup.co.in "bajaj allianz life"</t>
  </si>
  <si>
    <t>arcssindia.com</t>
  </si>
  <si>
    <t>site:arcssindia.com "bajaj allianz life"</t>
  </si>
  <si>
    <t>mpinsurance.in</t>
  </si>
  <si>
    <t>site:mpinsurance.in "bajaj allianz life"</t>
  </si>
  <si>
    <t>rminsurance.in</t>
  </si>
  <si>
    <t>site:rminsurance.in "bajaj allianz life"</t>
  </si>
  <si>
    <t>pulsecue.in</t>
  </si>
  <si>
    <t>site:pulsecue.in "bajaj allianz life"</t>
  </si>
  <si>
    <t>bluebellsinsurancebroking.com</t>
  </si>
  <si>
    <t>site:bluebellsinsurancebroking.com "bajaj allianz life"</t>
  </si>
  <si>
    <t>policicue.com</t>
  </si>
  <si>
    <t>site:policicue.com "bajaj allianz life"</t>
  </si>
  <si>
    <t>kaninsure.com</t>
  </si>
  <si>
    <t>site:kaninsure.com "bajaj allianz life"</t>
  </si>
  <si>
    <t>purpleumbrella.in</t>
  </si>
  <si>
    <t>site:purpleumbrella.in "bajaj allianz life"</t>
  </si>
  <si>
    <t>sgrlimited.in</t>
  </si>
  <si>
    <t>site:sgrlimited.in "bajaj allianz life"</t>
  </si>
  <si>
    <t>cholamandalam.com</t>
  </si>
  <si>
    <t>site:cholamandalam.com "bajaj allianz life"</t>
  </si>
  <si>
    <t>wmgwealth.in</t>
  </si>
  <si>
    <t>site:wmgwealth.in "bajaj allianz life"</t>
  </si>
  <si>
    <t>policygrace.com</t>
  </si>
  <si>
    <t>site:policygrace.com "bajaj allianz life"</t>
  </si>
  <si>
    <t>migooinsurance.com</t>
  </si>
  <si>
    <t>site:migooinsurance.com "bajaj allianz life"</t>
  </si>
  <si>
    <t>saralinsurancebroking.com</t>
  </si>
  <si>
    <t>site:saralinsurancebroking.com "bajaj allianz life"</t>
  </si>
  <si>
    <t>insta-policy.com</t>
  </si>
  <si>
    <t>site:insta-policy.com "bajaj allianz life"</t>
  </si>
  <si>
    <t>spsinsurance.in</t>
  </si>
  <si>
    <t>site:spsinsurance.in "bajaj allianz life"</t>
  </si>
  <si>
    <t>gibl.in</t>
  </si>
  <si>
    <t>site:gibl.in "bajaj allianz life"</t>
  </si>
  <si>
    <t>finhaat.com</t>
  </si>
  <si>
    <t>site:finhaat.com "bajaj allianz life"</t>
  </si>
  <si>
    <t>globalfinsol.in</t>
  </si>
  <si>
    <t>site:globalfinsol.in "bajaj allianz life"</t>
  </si>
  <si>
    <t>geojit.com</t>
  </si>
  <si>
    <t>site:geojit.com "bajaj allianz life"</t>
  </si>
  <si>
    <t>pos.bajajcapitalinsurance.com</t>
  </si>
  <si>
    <t>site:pos.bajajcapitalinsurance.com "bajaj allianz life"</t>
  </si>
  <si>
    <t>anandrathi.com</t>
  </si>
  <si>
    <t>site:anandrathi.com "bajaj allianz life"</t>
  </si>
  <si>
    <t>amco.bank.in</t>
  </si>
  <si>
    <t>site:amco.bank.in "bajaj allianz life"</t>
  </si>
  <si>
    <t>namfin.in</t>
  </si>
  <si>
    <t>site:namfin.in "bajaj allianz life"</t>
  </si>
  <si>
    <t>hibl.in</t>
  </si>
  <si>
    <t>site:hibl.in "bajaj allianz life"</t>
  </si>
  <si>
    <t>supremacyinsurance.com</t>
  </si>
  <si>
    <t>site:supremacyinsurance.com "bajaj allianz life"</t>
  </si>
  <si>
    <t>coverton.in</t>
  </si>
  <si>
    <t>site:coverton.in "bajaj allianz life"</t>
  </si>
  <si>
    <t>beyondtoday.in</t>
  </si>
  <si>
    <t>site:beyondtoday.in "bajaj allianz life"</t>
  </si>
  <si>
    <t>ibexer.com</t>
  </si>
  <si>
    <t>site:ibexer.com "bajaj allianz life"</t>
  </si>
  <si>
    <t>capalin.com</t>
  </si>
  <si>
    <t>site:capalin.com "bajaj allianz life"</t>
  </si>
  <si>
    <t>signaturebrokers.in</t>
  </si>
  <si>
    <t>site:signaturebrokers.in "bajaj allianz life"</t>
  </si>
  <si>
    <t>pcsinsurance.co.in</t>
  </si>
  <si>
    <t>site:pcsinsurance.co.in "bajaj allianz life"</t>
  </si>
  <si>
    <t>beemaaa.com</t>
  </si>
  <si>
    <t>site:beemaaa.com "bajaj allianz life"</t>
  </si>
  <si>
    <t>advanceindiabrokers.com</t>
  </si>
  <si>
    <t>site:advanceindiabrokers.com "bajaj allianz life"</t>
  </si>
  <si>
    <t>rohahousing.com</t>
  </si>
  <si>
    <t>site:rohahousing.com "bajaj allianz life"</t>
  </si>
  <si>
    <t>paulmerchantsfin.com</t>
  </si>
  <si>
    <t>site:paulmerchantsfin.com "bajaj allianz life"</t>
  </si>
  <si>
    <t>futurefirstindia.com</t>
  </si>
  <si>
    <t>site:futurefirstindia.com "bajaj allianz life"</t>
  </si>
  <si>
    <t>vimainsurance.com</t>
  </si>
  <si>
    <t>site:vimainsurance.com "bajaj allianz life"</t>
  </si>
  <si>
    <t>trustner.in</t>
  </si>
  <si>
    <t>site:trustner.in "bajaj allianz life"</t>
  </si>
  <si>
    <t>svojasinsurancebrokers.com</t>
  </si>
  <si>
    <t>site:svojasinsurancebrokers.com "bajaj allianz life"</t>
  </si>
  <si>
    <t>haritainsurancebroking.com</t>
  </si>
  <si>
    <t>site:haritainsurancebroking.com "bajaj allianz life"</t>
  </si>
  <si>
    <t>jmflhomeloans.com</t>
  </si>
  <si>
    <t>site:jmflhomeloans.com "bajaj allianz life"</t>
  </si>
  <si>
    <t>indiashelter.in</t>
  </si>
  <si>
    <t>site:indiashelter.in "bajaj allianz life"</t>
  </si>
  <si>
    <t>wbgb.bank.in</t>
  </si>
  <si>
    <t>site:wbgb.bank.in "bajaj allianz life"</t>
  </si>
  <si>
    <t>cars24.com</t>
  </si>
  <si>
    <t>site:cars24.com "bajaj allianz life"</t>
  </si>
  <si>
    <t>planswellib.com</t>
  </si>
  <si>
    <t>site:planswellib.com "bajaj allianz life"</t>
  </si>
  <si>
    <t>riskbirbal.com</t>
  </si>
  <si>
    <t>site:riskbirbal.com "bajaj allianz life"</t>
  </si>
  <si>
    <t>rrpolicy.com</t>
  </si>
  <si>
    <t>site:rrpolicy.com "bajaj allianz life"</t>
  </si>
  <si>
    <t>bimabro.com</t>
  </si>
  <si>
    <t>site:bimabro.com "bajaj allianz life"</t>
  </si>
  <si>
    <t>nainitalbank.bank.in</t>
  </si>
  <si>
    <t>site:nainitalbank.bank.in "bajaj allianz life"</t>
  </si>
  <si>
    <t>apgb.bank.in</t>
  </si>
  <si>
    <t>site:apgb.bank.in "bajaj allianz life"</t>
  </si>
  <si>
    <t>derisq.com</t>
  </si>
  <si>
    <t>site:derisq.com "bajaj allianz life"</t>
  </si>
  <si>
    <t>winsurance.in</t>
  </si>
  <si>
    <t>site:winsurance.in "bajaj allianz life"</t>
  </si>
  <si>
    <t>akshayagroup.net</t>
  </si>
  <si>
    <t>site:akshayagroup.net "bajaj allianz life"</t>
  </si>
  <si>
    <t>apollo247insurance.com</t>
  </si>
  <si>
    <t>site:apollo247insurance.com "bajaj allianz life"</t>
  </si>
  <si>
    <t>devanshinsurance.com</t>
  </si>
  <si>
    <t>site:devanshinsurance.com "bajaj allianz life"</t>
  </si>
  <si>
    <t>belstar.in</t>
  </si>
  <si>
    <t>site:belstar.in "bajaj allianz life"</t>
  </si>
  <si>
    <t>coverkraft.com</t>
  </si>
  <si>
    <t>site:coverkraft.com "bajaj allianz life"</t>
  </si>
  <si>
    <t>fusionfin.com</t>
  </si>
  <si>
    <t>site:fusionfin.com "bajaj allianz life"</t>
  </si>
  <si>
    <t>altumcredo.co.in</t>
  </si>
  <si>
    <t>site:altumcredo.co.in "bajaj allianz life"</t>
  </si>
  <si>
    <t>aliceblueonline.com</t>
  </si>
  <si>
    <t>site:aliceblueonline.com "bajaj allianz life"</t>
  </si>
  <si>
    <t>arhamshare.com</t>
  </si>
  <si>
    <t>site:arhamshare.com "bajaj allianz life"</t>
  </si>
  <si>
    <t>adityabirlacapital.com</t>
  </si>
  <si>
    <t>site:adityabirlacapital.com "bajaj allianz life"</t>
  </si>
  <si>
    <t>askfinancials.com</t>
  </si>
  <si>
    <t>site:askfinancials.com "bajaj allianz life"</t>
  </si>
  <si>
    <t>mahagramin.in</t>
  </si>
  <si>
    <t>site:mahagramin.in "bajaj allianz life"</t>
  </si>
  <si>
    <t>motilaloswal.com</t>
  </si>
  <si>
    <t>site:motilaloswal.com "bajaj allianz life"</t>
  </si>
  <si>
    <t>bajajcapitalinsurance.com</t>
  </si>
  <si>
    <t>site:bajajcapitalinsurance.com "bajaj allianz life"</t>
  </si>
  <si>
    <t>zaubacorp.com</t>
  </si>
  <si>
    <t>site:zaubacorp.com "bajaj allianz life"</t>
  </si>
  <si>
    <t>bluechipindia.co.in</t>
  </si>
  <si>
    <t>site:bluechipindia.co.in "bajaj allianz life"</t>
  </si>
  <si>
    <t>benefitme.co.in</t>
  </si>
  <si>
    <t>site:benefitme.co.in "bajaj allianz life"</t>
  </si>
  <si>
    <t>anandrathiinsurance.com</t>
  </si>
  <si>
    <t>site:anandrathiinsurance.com "bajaj allianz life"</t>
  </si>
  <si>
    <t>salasarservices.com</t>
  </si>
  <si>
    <t>site:salasarservices.com "bajaj allianz life"</t>
  </si>
  <si>
    <t>turtlemintinsurance.com</t>
  </si>
  <si>
    <t>site:turtlemintinsurance.com "bajaj allianz life"</t>
  </si>
  <si>
    <t>vizzainsurance.com</t>
  </si>
  <si>
    <t>site:vizzainsurance.com "bajaj allianz life"</t>
  </si>
  <si>
    <t>muthootinsurancebrokers.com</t>
  </si>
  <si>
    <t>site:muthootinsurancebrokers.com "bajaj allianz life"</t>
  </si>
  <si>
    <t>allianceinsurance.in</t>
  </si>
  <si>
    <t>site:allianceinsurance.in "bajaj allianz life"</t>
  </si>
  <si>
    <t>probusinsurance.com</t>
  </si>
  <si>
    <t>site:probusinsurance.com "bajaj allianz life"</t>
  </si>
  <si>
    <t>prathamaupbank.com</t>
  </si>
  <si>
    <t>site:prathamaupbank.com "bajaj allianz life"</t>
  </si>
  <si>
    <t>beacon.co.in</t>
  </si>
  <si>
    <t>site:beacon.co.in "bajaj allianz life"</t>
  </si>
  <si>
    <t>njgroup.in</t>
  </si>
  <si>
    <t>site:njgroup.in "bajaj allianz life"</t>
  </si>
  <si>
    <t>arunayainsurance.in</t>
  </si>
  <si>
    <t>site:arunayainsurance.in "bajaj allianz life"</t>
  </si>
  <si>
    <t>livlonginsurance.com</t>
  </si>
  <si>
    <t>site:livlonginsurance.com "bajaj allianz life"</t>
  </si>
  <si>
    <t>trustline.in</t>
  </si>
  <si>
    <t>site:trustline.in "bajaj allianz life"</t>
  </si>
  <si>
    <t>smcinsurance.com</t>
  </si>
  <si>
    <t>site:smcinsurance.com "bajaj allianz life"</t>
  </si>
  <si>
    <t>providenceindia.in</t>
  </si>
  <si>
    <t>site:providenceindia.in "bajaj allianz life"</t>
  </si>
  <si>
    <t>zoominsurancebrokers.com</t>
  </si>
  <si>
    <t>site:zoominsurancebrokers.com "bajaj allianz life"</t>
  </si>
  <si>
    <t>shiftrisk.com</t>
  </si>
  <si>
    <t>site:shiftrisk.com "bajaj allianz life"</t>
  </si>
  <si>
    <t>shareindiainsurance.com</t>
  </si>
  <si>
    <t>site:shareindiainsurance.com "bajaj allianz life"</t>
  </si>
  <si>
    <t>accurateriskmanagers.com</t>
  </si>
  <si>
    <t>site:accurateriskmanagers.com "bajaj allianz life"</t>
  </si>
  <si>
    <t>centrumwealth.co.in</t>
  </si>
  <si>
    <t>site:centrumwealth.co.in "bajaj allianz life"</t>
  </si>
  <si>
    <t>capvirgo.co.in</t>
  </si>
  <si>
    <t>site:capvirgo.co.in "bajaj allianz life"</t>
  </si>
  <si>
    <t>purplepond.in</t>
  </si>
  <si>
    <t>site:purplepond.in "bajaj allianz life"</t>
  </si>
  <si>
    <t>safetree.in</t>
  </si>
  <si>
    <t>site:safetree.in "bajaj allianz life"</t>
  </si>
  <si>
    <t>colourfundsinsure.com</t>
  </si>
  <si>
    <t>site:colourfundsinsure.com "bajaj allianz life"</t>
  </si>
  <si>
    <t>lmvinsurancebroking.com</t>
  </si>
  <si>
    <t>site:lmvinsurancebroking.com "bajaj allianz life"</t>
  </si>
  <si>
    <t>globesecure.co.in</t>
  </si>
  <si>
    <t>site:globesecure.co.in "bajaj allianz life"</t>
  </si>
  <si>
    <t>it.acuvisor.com</t>
  </si>
  <si>
    <t>site:it.acuvisor.com "bajaj allianz life"</t>
  </si>
  <si>
    <t>trailblazerinsurance.in</t>
  </si>
  <si>
    <t>site:trailblazerinsurance.in "bajaj allianz life"</t>
  </si>
  <si>
    <t>Xperitus</t>
  </si>
  <si>
    <t>site:Xperitus "bajaj allianz life"</t>
  </si>
  <si>
    <t>Wealth Guardian Insurance Broker - About Us</t>
  </si>
  <si>
    <t>site:Wealth Guardian Insurance Broker - About Us "bajaj allianz life"</t>
  </si>
  <si>
    <t>I N T E G R A T E D - Insurance Portal</t>
  </si>
  <si>
    <t>site:I N T E G R A T E D - Insurance Portal "bajaj allianz life"</t>
  </si>
  <si>
    <t>howdengroup.com</t>
  </si>
  <si>
    <t>site:howdengroup.com "bajaj allianz life"</t>
  </si>
  <si>
    <t>epochbrokers.com</t>
  </si>
  <si>
    <t>site:epochbrokers.com "bajaj allianz life"</t>
  </si>
  <si>
    <t>site:sss "bajaj allianz life"</t>
  </si>
  <si>
    <t>orangecapital.co.in</t>
  </si>
  <si>
    <t>site:orangecapital.co.in "bajaj allianz life"</t>
  </si>
  <si>
    <t>uibindia.com</t>
  </si>
  <si>
    <t>site:uibindia.com "bajaj allianz life"</t>
  </si>
  <si>
    <t>jbbodagroup.com</t>
  </si>
  <si>
    <t>site:jbbodagroup.com "bajaj allianz life"</t>
  </si>
  <si>
    <t>ratnaafinsure.com</t>
  </si>
  <si>
    <t>site:ratnaafinsure.com "bajaj allianz life"</t>
  </si>
  <si>
    <t>manasinsurancebrokers.com</t>
  </si>
  <si>
    <t>site:manasinsurancebrokers.com "bajaj allianz life"</t>
  </si>
  <si>
    <t>intactinsurance.co.in</t>
  </si>
  <si>
    <t>site:intactinsurance.co.in "bajaj allianz life"</t>
  </si>
  <si>
    <t>futurisk.in</t>
  </si>
  <si>
    <t>site:futurisk.in "bajaj allianz life"</t>
  </si>
  <si>
    <t>westford.co.in</t>
  </si>
  <si>
    <t>site:westford.co.in "bajaj allianz life"</t>
  </si>
  <si>
    <t>squareinsurance.in</t>
  </si>
  <si>
    <t>site:squareinsurance.in "bajaj allianz life"</t>
  </si>
  <si>
    <t>policyboss.com</t>
  </si>
  <si>
    <t>site:policyboss.com "bajaj allianz life"</t>
  </si>
  <si>
    <t>policybazaar.com</t>
  </si>
  <si>
    <t>site:policybazaar.com "bajaj allianz life"</t>
  </si>
  <si>
    <t>catalystbrokers.com</t>
  </si>
  <si>
    <t>site:catalystbrokers.com "bajaj allianz life"</t>
  </si>
  <si>
    <t>relitrade.in</t>
  </si>
  <si>
    <t>site:relitrade.in "bajaj allianz life"</t>
  </si>
  <si>
    <t>policy99.com</t>
  </si>
  <si>
    <t>site:policy99.com "bajaj allianz life"</t>
  </si>
  <si>
    <t>bharatre.in</t>
  </si>
  <si>
    <t>site:bharatre.in "bajaj allianz life"</t>
  </si>
  <si>
    <t>magnuminsurance.in</t>
  </si>
  <si>
    <t>site:magnuminsurance.in "bajaj allianz life"</t>
  </si>
  <si>
    <t>myinsurancekart.com.</t>
  </si>
  <si>
    <t>site:myinsurancekart.com. "bajaj allianz life"</t>
  </si>
  <si>
    <t>global.lockton.com</t>
  </si>
  <si>
    <t>site:global.lockton.com "bajaj allianz life"</t>
  </si>
  <si>
    <t>visistarisk.com</t>
  </si>
  <si>
    <t>site:visistarisk.com "bajaj allianz life"</t>
  </si>
  <si>
    <t>nuvamawealth.com</t>
  </si>
  <si>
    <t>site:nuvamawealth.com "bajaj allianz life"</t>
  </si>
  <si>
    <t>insureefficient.com</t>
  </si>
  <si>
    <t>site:insureefficient.com "bajaj allianz life"</t>
  </si>
  <si>
    <t>insurejoy.com</t>
  </si>
  <si>
    <t>site:insurejoy.com "bajaj allianz life"</t>
  </si>
  <si>
    <t>aviainsurance.in</t>
  </si>
  <si>
    <t>site:aviainsurance.in "bajaj allianz life"</t>
  </si>
  <si>
    <t>qian.co.in</t>
  </si>
  <si>
    <t>site:qian.co.in "bajaj allianz life"</t>
  </si>
  <si>
    <t>unisoninsurance.net</t>
  </si>
  <si>
    <t>site:unisoninsurance.net "bajaj allianz life"</t>
  </si>
  <si>
    <t>yellainsure.com</t>
  </si>
  <si>
    <t>site:yellainsure.com "bajaj allianz life"</t>
  </si>
  <si>
    <t>ivainsurance.com</t>
  </si>
  <si>
    <t>site:ivainsurance.com "bajaj allianz life"</t>
  </si>
  <si>
    <t>dishainsurance.com</t>
  </si>
  <si>
    <t>site:dishainsurance.com "bajaj allianz life"</t>
  </si>
  <si>
    <t>sushilfinance.com</t>
  </si>
  <si>
    <t>site:sushilfinance.com "bajaj allianz life"</t>
  </si>
  <si>
    <t>fundtreeindia.com</t>
  </si>
  <si>
    <t>site:fundtreeindia.com "bajaj allianz life"</t>
  </si>
  <si>
    <t>samavesh.in</t>
  </si>
  <si>
    <t>site:samavesh.in "bajaj allianz life"</t>
  </si>
  <si>
    <t>apeejaygroup.com</t>
  </si>
  <si>
    <t>site:apeejaygroup.com "bajaj allianz life"</t>
  </si>
  <si>
    <t>alete.in</t>
  </si>
  <si>
    <t>site:alete.in "bajaj allianz life"</t>
  </si>
  <si>
    <t>vagmi.org</t>
  </si>
  <si>
    <t>site:vagmi.org "bajaj allianz life"</t>
  </si>
  <si>
    <t>raintreeinsurance.in</t>
  </si>
  <si>
    <t>site:raintreeinsurance.in "bajaj allianz life"</t>
  </si>
  <si>
    <t>tvsinsurance.in</t>
  </si>
  <si>
    <t>site:tvsinsurance.in "bajaj allianz life"</t>
  </si>
  <si>
    <t>wisdominsurance.in</t>
  </si>
  <si>
    <t>site:wisdominsurance.in "bajaj allianz life"</t>
  </si>
  <si>
    <t>zopperinsurance.com</t>
  </si>
  <si>
    <t>site:zopperinsurance.com "bajaj allianz life"</t>
  </si>
  <si>
    <t>novoinsure.com</t>
  </si>
  <si>
    <t>site:novoinsure.com "bajaj allianz life"</t>
  </si>
  <si>
    <t>nbinsurance.in</t>
  </si>
  <si>
    <t>site:nbinsurance.in "bajaj allianz life"</t>
  </si>
  <si>
    <t>religareonline.com</t>
  </si>
  <si>
    <t>site:religareonline.com "bajaj allianz life"</t>
  </si>
  <si>
    <t>auminsurancebrokers.com</t>
  </si>
  <si>
    <t>site:auminsurancebrokers.com "bajaj allianz life"</t>
  </si>
  <si>
    <t>policynation.com</t>
  </si>
  <si>
    <t>site:policynation.com "bajaj allianz life"</t>
  </si>
  <si>
    <t>mybimasansar.com</t>
  </si>
  <si>
    <t>site:mybimasansar.com "bajaj allianz life"</t>
  </si>
  <si>
    <t>capitalsquare.in</t>
  </si>
  <si>
    <t>site:capitalsquare.in "bajaj allianz life"</t>
  </si>
  <si>
    <t>jubiliant.co.in</t>
  </si>
  <si>
    <t>site:jubiliant.co.in "bajaj allianz life"</t>
  </si>
  <si>
    <t>in.dohabank.com</t>
  </si>
  <si>
    <t>site:in.dohabank.com "bajaj allianz life"</t>
  </si>
  <si>
    <t>sammaancapital.com</t>
  </si>
  <si>
    <t>site:sammaancapital.com "bajaj allianz life"</t>
  </si>
  <si>
    <t>armourrinsurance.com</t>
  </si>
  <si>
    <t>site:armourrinsurance.com "bajaj allianz life"</t>
  </si>
  <si>
    <t>drvindia.com</t>
  </si>
  <si>
    <t>site:drvindia.com "bajaj allianz life"</t>
  </si>
  <si>
    <t>plinsurance.co.in</t>
  </si>
  <si>
    <t>site:plinsurance.co.in "bajaj allianz life"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</si>
</sst>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color rgb="FF000000"/>
      <name val="Rubik"/>
    </font>
    <font>
      <b/>
      <color rgb="FFFFFFFF"/>
      <name val="Rubik"/>
    </font>
    <font>
      <sz val="11.0"/>
      <color rgb="FF000000"/>
      <name val="Rubik"/>
    </font>
    <font>
      <color rgb="FFFF0000"/>
      <name val="Rubik"/>
    </font>
    <font>
      <u/>
      <color rgb="FF0000FF"/>
      <name val="Rubik"/>
    </font>
    <font>
      <u/>
      <sz val="11.0"/>
      <color rgb="FF0000FF"/>
      <name val="Calibri"/>
    </font>
    <font>
      <u/>
      <color rgb="FF000000"/>
      <name val="Rubik"/>
    </font>
    <font>
      <u/>
      <sz val="11.0"/>
      <color rgb="FF0000FF"/>
      <name val="Calibri"/>
    </font>
    <font>
      <u/>
      <color rgb="FF0000FF"/>
      <name val="Rubik"/>
    </font>
    <font>
      <u/>
      <color rgb="FF0000FF"/>
      <name val="Rubik"/>
    </font>
    <font>
      <u/>
      <color rgb="FF000000"/>
      <name val="Rubik"/>
    </font>
    <font>
      <u/>
      <sz val="11.0"/>
      <color rgb="FF000000"/>
      <name val="Rubik"/>
    </font>
    <font>
      <u/>
      <color rgb="FF0000FF"/>
      <name val="Rubik"/>
    </font>
    <font>
      <u/>
      <color rgb="FF000000"/>
      <name val="Rubik"/>
    </font>
    <font>
      <b/>
      <color rgb="FF000000"/>
      <name val="Rubik"/>
    </font>
    <font>
      <b/>
      <u/>
      <color rgb="FF000000"/>
      <name val="Rubik"/>
    </font>
    <font>
      <b/>
      <sz val="11.0"/>
      <color rgb="FF000000"/>
      <name val="Rubik"/>
    </font>
    <font>
      <b/>
      <color theme="1"/>
      <name val="Arial"/>
      <scheme val="minor"/>
    </font>
    <font>
      <color rgb="FF545454"/>
      <name val="Rubik"/>
    </font>
    <font>
      <sz val="11.0"/>
      <color rgb="FF000000"/>
      <name val="Calibri"/>
    </font>
    <font>
      <u/>
      <sz val="11.0"/>
      <color rgb="FF0000FF"/>
      <name val="Calibri"/>
    </font>
    <font>
      <sz val="11.0"/>
      <color rgb="FF000000"/>
      <name val="Arial"/>
    </font>
    <font>
      <u/>
      <sz val="11.0"/>
      <color rgb="FF000000"/>
      <name val="Calibri"/>
    </font>
    <font>
      <b/>
      <sz val="11.0"/>
      <color rgb="FFFFFFFF"/>
      <name val="Arial"/>
    </font>
    <font>
      <color theme="1"/>
      <name val="Arial"/>
    </font>
    <font>
      <u/>
      <color rgb="FF1155CC"/>
      <name val="Arial"/>
    </font>
    <font>
      <b/>
      <u/>
      <color rgb="FF1155CC"/>
      <name val="Arial"/>
    </font>
    <font>
      <u/>
      <color rgb="FF1155CC"/>
      <name val="Arial"/>
    </font>
    <font>
      <b/>
      <u/>
      <color rgb="FF1155CC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C65911"/>
        <bgColor rgb="FFC6591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CE4D6"/>
        <bgColor rgb="FFFCE4D6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1F3864"/>
        <bgColor rgb="FF1F3864"/>
      </patternFill>
    </fill>
    <fill>
      <patternFill patternType="solid">
        <fgColor rgb="FFF0F4FF"/>
        <bgColor rgb="FFF0F4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2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3" numFmtId="0" xfId="0" applyAlignment="1" applyFont="1">
      <alignment shrinkToFit="0" vertical="bottom" wrapText="0"/>
    </xf>
    <xf borderId="1" fillId="4" fontId="1" numFmtId="0" xfId="0" applyAlignment="1" applyBorder="1" applyFill="1" applyFont="1">
      <alignment horizontal="left"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5" fontId="1" numFmtId="0" xfId="0" applyAlignment="1" applyBorder="1" applyFill="1" applyFont="1">
      <alignment horizontal="left" readingOrder="0" shrinkToFit="0" vertical="bottom" wrapText="0"/>
    </xf>
    <xf borderId="1" fillId="4" fontId="4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left" readingOrder="0" vertical="bottom"/>
    </xf>
    <xf borderId="1" fillId="4" fontId="1" numFmtId="0" xfId="0" applyAlignment="1" applyBorder="1" applyFont="1">
      <alignment horizontal="center" shrinkToFit="0" vertical="bottom" wrapText="0"/>
    </xf>
    <xf borderId="1" fillId="4" fontId="1" numFmtId="0" xfId="0" applyAlignment="1" applyBorder="1" applyFont="1">
      <alignment horizontal="center" readingOrder="0" shrinkToFit="0" vertical="bottom" wrapText="0"/>
    </xf>
    <xf borderId="1" fillId="4" fontId="1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left" readingOrder="0" vertical="bottom"/>
    </xf>
    <xf borderId="1" fillId="6" fontId="1" numFmtId="0" xfId="0" applyAlignment="1" applyBorder="1" applyFill="1" applyFont="1">
      <alignment horizontal="left" readingOrder="0" shrinkToFit="0" vertical="bottom" wrapText="0"/>
    </xf>
    <xf borderId="1" fillId="0" fontId="1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 shrinkToFit="0" wrapText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 shrinkToFit="0" wrapText="0"/>
    </xf>
    <xf borderId="1" fillId="0" fontId="11" numFmtId="0" xfId="0" applyAlignment="1" applyBorder="1" applyFont="1">
      <alignment readingOrder="0" vertical="bottom"/>
    </xf>
    <xf borderId="0" fillId="0" fontId="12" numFmtId="0" xfId="0" applyAlignment="1" applyFont="1">
      <alignment readingOrder="0" vertical="bottom"/>
    </xf>
    <xf borderId="1" fillId="0" fontId="1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0" fontId="1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7" fontId="1" numFmtId="0" xfId="0" applyAlignment="1" applyBorder="1" applyFill="1" applyFont="1">
      <alignment horizontal="left" readingOrder="0" shrinkToFit="0" vertical="bottom" wrapText="0"/>
    </xf>
    <xf borderId="1" fillId="7" fontId="1" numFmtId="0" xfId="0" applyAlignment="1" applyBorder="1" applyFont="1">
      <alignment readingOrder="0" shrinkToFit="0" vertical="bottom" wrapText="0"/>
    </xf>
    <xf borderId="1" fillId="4" fontId="15" numFmtId="0" xfId="0" applyAlignment="1" applyBorder="1" applyFont="1">
      <alignment horizontal="left" readingOrder="0" shrinkToFit="0" vertical="bottom" wrapText="0"/>
    </xf>
    <xf borderId="1" fillId="0" fontId="15" numFmtId="0" xfId="0" applyAlignment="1" applyBorder="1" applyFont="1">
      <alignment horizontal="center" readingOrder="0" shrinkToFit="0" wrapText="0"/>
    </xf>
    <xf borderId="1" fillId="0" fontId="15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8" numFmtId="0" xfId="0" applyFont="1"/>
    <xf borderId="1" fillId="0" fontId="19" numFmtId="0" xfId="0" applyAlignment="1" applyBorder="1" applyFont="1">
      <alignment horizontal="center" readingOrder="0"/>
    </xf>
    <xf borderId="0" fillId="0" fontId="20" numFmtId="0" xfId="0" applyAlignment="1" applyFont="1">
      <alignment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21" numFmtId="0" xfId="0" applyAlignment="1" applyBorder="1" applyFont="1">
      <alignment readingOrder="0" shrinkToFit="0" vertical="bottom" wrapText="0"/>
    </xf>
    <xf borderId="0" fillId="8" fontId="20" numFmtId="0" xfId="0" applyAlignment="1" applyFill="1" applyFont="1">
      <alignment shrinkToFit="0" vertical="bottom" wrapText="0"/>
    </xf>
    <xf borderId="1" fillId="9" fontId="1" numFmtId="0" xfId="0" applyAlignment="1" applyBorder="1" applyFill="1" applyFont="1">
      <alignment readingOrder="0" shrinkToFit="0" vertical="bottom" wrapText="0"/>
    </xf>
    <xf borderId="0" fillId="9" fontId="20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0" fillId="0" fontId="22" numFmtId="0" xfId="0" applyAlignment="1" applyFont="1">
      <alignment horizontal="left"/>
    </xf>
    <xf borderId="0" fillId="0" fontId="23" numFmtId="0" xfId="0" applyAlignment="1" applyFont="1">
      <alignment horizontal="left" readingOrder="0" shrinkToFit="0" vertical="top" wrapText="0"/>
    </xf>
    <xf borderId="1" fillId="8" fontId="1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10" fontId="24" numFmtId="0" xfId="0" applyAlignment="1" applyFill="1" applyFont="1">
      <alignment horizontal="center" vertical="bottom"/>
    </xf>
    <xf borderId="0" fillId="4" fontId="25" numFmtId="0" xfId="0" applyAlignment="1" applyFont="1">
      <alignment horizontal="right"/>
    </xf>
    <xf borderId="0" fillId="4" fontId="26" numFmtId="0" xfId="0" applyFont="1"/>
    <xf borderId="0" fillId="4" fontId="25" numFmtId="0" xfId="0" applyFont="1"/>
    <xf borderId="0" fillId="4" fontId="27" numFmtId="0" xfId="0" applyFont="1"/>
    <xf borderId="0" fillId="11" fontId="25" numFmtId="0" xfId="0" applyAlignment="1" applyFill="1" applyFont="1">
      <alignment horizontal="right"/>
    </xf>
    <xf borderId="0" fillId="11" fontId="28" numFmtId="0" xfId="0" applyFont="1"/>
    <xf borderId="0" fillId="11" fontId="25" numFmtId="0" xfId="0" applyFont="1"/>
    <xf borderId="0" fillId="11" fontId="2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dmoney.com/" TargetMode="External"/><Relationship Id="rId190" Type="http://schemas.openxmlformats.org/officeDocument/2006/relationships/hyperlink" Target="https://swap.apnainsurance.in/online-term-insurance" TargetMode="External"/><Relationship Id="rId42" Type="http://schemas.openxmlformats.org/officeDocument/2006/relationships/hyperlink" Target="https://policypoint.co/life-insurance" TargetMode="External"/><Relationship Id="rId41" Type="http://schemas.openxmlformats.org/officeDocument/2006/relationships/hyperlink" Target="https://www.ajg.com/in/insurance-partners/" TargetMode="External"/><Relationship Id="rId44" Type="http://schemas.openxmlformats.org/officeDocument/2006/relationships/hyperlink" Target="https://novabroking.com/" TargetMode="External"/><Relationship Id="rId194" Type="http://schemas.openxmlformats.org/officeDocument/2006/relationships/hyperlink" Target="https://www.vachaninsurance.com/" TargetMode="External"/><Relationship Id="rId43" Type="http://schemas.openxmlformats.org/officeDocument/2006/relationships/hyperlink" Target="https://www.vittachayainsurance.com/" TargetMode="External"/><Relationship Id="rId193" Type="http://schemas.openxmlformats.org/officeDocument/2006/relationships/hyperlink" Target="https://www.sorigin.co/" TargetMode="External"/><Relationship Id="rId46" Type="http://schemas.openxmlformats.org/officeDocument/2006/relationships/hyperlink" Target="https://www.wealthy.in/partner/insurance-solutions" TargetMode="External"/><Relationship Id="rId192" Type="http://schemas.openxmlformats.org/officeDocument/2006/relationships/hyperlink" Target="https://universebima.com/" TargetMode="External"/><Relationship Id="rId45" Type="http://schemas.openxmlformats.org/officeDocument/2006/relationships/hyperlink" Target="https://www.alacrityib.in/" TargetMode="External"/><Relationship Id="rId191" Type="http://schemas.openxmlformats.org/officeDocument/2006/relationships/hyperlink" Target="https://www.skyfireinsurance.in/" TargetMode="External"/><Relationship Id="rId48" Type="http://schemas.openxmlformats.org/officeDocument/2006/relationships/hyperlink" Target="https://www.fisdom.com/" TargetMode="External"/><Relationship Id="rId187" Type="http://schemas.openxmlformats.org/officeDocument/2006/relationships/hyperlink" Target="https://www.svatantramicrofin.com/" TargetMode="External"/><Relationship Id="rId47" Type="http://schemas.openxmlformats.org/officeDocument/2006/relationships/hyperlink" Target="https://vibeins.com/individual" TargetMode="External"/><Relationship Id="rId186" Type="http://schemas.openxmlformats.org/officeDocument/2006/relationships/hyperlink" Target="https://varashaktihousing.co.in/partners/" TargetMode="External"/><Relationship Id="rId185" Type="http://schemas.openxmlformats.org/officeDocument/2006/relationships/hyperlink" Target="https://www.tnsc.bank.in/" TargetMode="External"/><Relationship Id="rId49" Type="http://schemas.openxmlformats.org/officeDocument/2006/relationships/hyperlink" Target="http://srassociate.co.in/life-insurance/" TargetMode="External"/><Relationship Id="rId184" Type="http://schemas.openxmlformats.org/officeDocument/2006/relationships/hyperlink" Target="https://www.profectuscapital.com/" TargetMode="External"/><Relationship Id="rId189" Type="http://schemas.openxmlformats.org/officeDocument/2006/relationships/hyperlink" Target="https://wmggroup.in/" TargetMode="External"/><Relationship Id="rId188" Type="http://schemas.openxmlformats.org/officeDocument/2006/relationships/hyperlink" Target="http://www.policybasket.in/" TargetMode="External"/><Relationship Id="rId31" Type="http://schemas.openxmlformats.org/officeDocument/2006/relationships/hyperlink" Target="https://regalinsurancebrokers.com/" TargetMode="External"/><Relationship Id="rId30" Type="http://schemas.openxmlformats.org/officeDocument/2006/relationships/hyperlink" Target="https://paytminsurance.co.in/" TargetMode="External"/><Relationship Id="rId33" Type="http://schemas.openxmlformats.org/officeDocument/2006/relationships/hyperlink" Target="https://aryavinsurance.com/" TargetMode="External"/><Relationship Id="rId183" Type="http://schemas.openxmlformats.org/officeDocument/2006/relationships/hyperlink" Target="https://www.mahindrainsurancebrokers.com/" TargetMode="External"/><Relationship Id="rId32" Type="http://schemas.openxmlformats.org/officeDocument/2006/relationships/hyperlink" Target="https://www.torqueinsure.com/life-insurance.php" TargetMode="External"/><Relationship Id="rId182" Type="http://schemas.openxmlformats.org/officeDocument/2006/relationships/hyperlink" Target="https://aimsinsurance.in/life-insurance/" TargetMode="External"/><Relationship Id="rId35" Type="http://schemas.openxmlformats.org/officeDocument/2006/relationships/hyperlink" Target="https://app.gintejainsurance.com/" TargetMode="External"/><Relationship Id="rId181" Type="http://schemas.openxmlformats.org/officeDocument/2006/relationships/hyperlink" Target="https://cri.co.in/" TargetMode="External"/><Relationship Id="rId34" Type="http://schemas.openxmlformats.org/officeDocument/2006/relationships/hyperlink" Target="https://www.paavanains.co.in/index.html" TargetMode="External"/><Relationship Id="rId180" Type="http://schemas.openxmlformats.org/officeDocument/2006/relationships/hyperlink" Target="https://3di.co.in/" TargetMode="External"/><Relationship Id="rId37" Type="http://schemas.openxmlformats.org/officeDocument/2006/relationships/hyperlink" Target="https://www.prudentbrokers.com/index.html" TargetMode="External"/><Relationship Id="rId176" Type="http://schemas.openxmlformats.org/officeDocument/2006/relationships/hyperlink" Target="https://onesure.co.in/" TargetMode="External"/><Relationship Id="rId297" Type="http://schemas.openxmlformats.org/officeDocument/2006/relationships/hyperlink" Target="https://centrumwealth.co.in/" TargetMode="External"/><Relationship Id="rId36" Type="http://schemas.openxmlformats.org/officeDocument/2006/relationships/hyperlink" Target="https://www.insurenearby.in/" TargetMode="External"/><Relationship Id="rId175" Type="http://schemas.openxmlformats.org/officeDocument/2006/relationships/hyperlink" Target="https://www.heuteandmorgen.com/" TargetMode="External"/><Relationship Id="rId296" Type="http://schemas.openxmlformats.org/officeDocument/2006/relationships/hyperlink" Target="https://accurateriskmanagers.com/" TargetMode="External"/><Relationship Id="rId39" Type="http://schemas.openxmlformats.org/officeDocument/2006/relationships/hyperlink" Target="https://www.covermitra.com/life-insurance/" TargetMode="External"/><Relationship Id="rId174" Type="http://schemas.openxmlformats.org/officeDocument/2006/relationships/hyperlink" Target="https://www.goproibpl.com/index.php" TargetMode="External"/><Relationship Id="rId295" Type="http://schemas.openxmlformats.org/officeDocument/2006/relationships/hyperlink" Target="https://shareindiainsurance.com/retail/life" TargetMode="External"/><Relationship Id="rId38" Type="http://schemas.openxmlformats.org/officeDocument/2006/relationships/hyperlink" Target="https://www.coverfox.com/term-insurance/bajaj-allianz/" TargetMode="External"/><Relationship Id="rId173" Type="http://schemas.openxmlformats.org/officeDocument/2006/relationships/hyperlink" Target="https://balio.insure/" TargetMode="External"/><Relationship Id="rId294" Type="http://schemas.openxmlformats.org/officeDocument/2006/relationships/hyperlink" Target="https://www.shiftrisk.com/" TargetMode="External"/><Relationship Id="rId179" Type="http://schemas.openxmlformats.org/officeDocument/2006/relationships/hyperlink" Target="https://www.bimaguru.in/" TargetMode="External"/><Relationship Id="rId178" Type="http://schemas.openxmlformats.org/officeDocument/2006/relationships/hyperlink" Target="https://ashutoshfinserv.com/" TargetMode="External"/><Relationship Id="rId299" Type="http://schemas.openxmlformats.org/officeDocument/2006/relationships/hyperlink" Target="https://purplepond.in/" TargetMode="External"/><Relationship Id="rId177" Type="http://schemas.openxmlformats.org/officeDocument/2006/relationships/hyperlink" Target="https://libpl.com/life" TargetMode="External"/><Relationship Id="rId298" Type="http://schemas.openxmlformats.org/officeDocument/2006/relationships/hyperlink" Target="https://capvirgo.co.in/" TargetMode="External"/><Relationship Id="rId20" Type="http://schemas.openxmlformats.org/officeDocument/2006/relationships/hyperlink" Target="https://bimabrothers.com/" TargetMode="External"/><Relationship Id="rId22" Type="http://schemas.openxmlformats.org/officeDocument/2006/relationships/hyperlink" Target="https://lambach.in/" TargetMode="External"/><Relationship Id="rId21" Type="http://schemas.openxmlformats.org/officeDocument/2006/relationships/hyperlink" Target="https://moneyfrog.in/" TargetMode="External"/><Relationship Id="rId24" Type="http://schemas.openxmlformats.org/officeDocument/2006/relationships/hyperlink" Target="https://www.irminsurance.in/" TargetMode="External"/><Relationship Id="rId23" Type="http://schemas.openxmlformats.org/officeDocument/2006/relationships/hyperlink" Target="https://www.insurancejarurihe.com/" TargetMode="External"/><Relationship Id="rId26" Type="http://schemas.openxmlformats.org/officeDocument/2006/relationships/hyperlink" Target="https://www.reviewrisk.com/contact.html" TargetMode="External"/><Relationship Id="rId25" Type="http://schemas.openxmlformats.org/officeDocument/2006/relationships/hyperlink" Target="https://reliassure.in/" TargetMode="External"/><Relationship Id="rId28" Type="http://schemas.openxmlformats.org/officeDocument/2006/relationships/hyperlink" Target="https://bewealthy.co.in/" TargetMode="External"/><Relationship Id="rId27" Type="http://schemas.openxmlformats.org/officeDocument/2006/relationships/hyperlink" Target="https://www.spacapital.com/Archive/Default.aspx" TargetMode="External"/><Relationship Id="rId29" Type="http://schemas.openxmlformats.org/officeDocument/2006/relationships/hyperlink" Target="https://www.policyx.com/" TargetMode="External"/><Relationship Id="rId11" Type="http://schemas.openxmlformats.org/officeDocument/2006/relationships/hyperlink" Target="https://ensigninsuranceltd.com/" TargetMode="External"/><Relationship Id="rId10" Type="http://schemas.openxmlformats.org/officeDocument/2006/relationships/hyperlink" Target="https://www.samyagbroking.com/" TargetMode="External"/><Relationship Id="rId13" Type="http://schemas.openxmlformats.org/officeDocument/2006/relationships/hyperlink" Target="https://pos.veritasins.com/" TargetMode="External"/><Relationship Id="rId12" Type="http://schemas.openxmlformats.org/officeDocument/2006/relationships/hyperlink" Target="https://www.pincinsurance.com/" TargetMode="External"/><Relationship Id="rId15" Type="http://schemas.openxmlformats.org/officeDocument/2006/relationships/hyperlink" Target="https://trothinsurance.com/" TargetMode="External"/><Relationship Id="rId198" Type="http://schemas.openxmlformats.org/officeDocument/2006/relationships/hyperlink" Target="https://www.360.one/wealth/home" TargetMode="External"/><Relationship Id="rId14" Type="http://schemas.openxmlformats.org/officeDocument/2006/relationships/hyperlink" Target="https://instaraksha.com/" TargetMode="External"/><Relationship Id="rId197" Type="http://schemas.openxmlformats.org/officeDocument/2006/relationships/hyperlink" Target="https://www.incred.com/" TargetMode="External"/><Relationship Id="rId17" Type="http://schemas.openxmlformats.org/officeDocument/2006/relationships/hyperlink" Target="https://superfinserv.com/term-insurance" TargetMode="External"/><Relationship Id="rId196" Type="http://schemas.openxmlformats.org/officeDocument/2006/relationships/hyperlink" Target="https://optima.co.in/" TargetMode="External"/><Relationship Id="rId16" Type="http://schemas.openxmlformats.org/officeDocument/2006/relationships/hyperlink" Target="https://phillipservices.com/Insurance" TargetMode="External"/><Relationship Id="rId195" Type="http://schemas.openxmlformats.org/officeDocument/2006/relationships/hyperlink" Target="https://royalinsurance.in/" TargetMode="External"/><Relationship Id="rId19" Type="http://schemas.openxmlformats.org/officeDocument/2006/relationships/hyperlink" Target="https://www.insurance4life.in/" TargetMode="External"/><Relationship Id="rId18" Type="http://schemas.openxmlformats.org/officeDocument/2006/relationships/hyperlink" Target="https://www.odininsurance.com/" TargetMode="External"/><Relationship Id="rId199" Type="http://schemas.openxmlformats.org/officeDocument/2006/relationships/hyperlink" Target="https://cafsindia.com/" TargetMode="External"/><Relationship Id="rId84" Type="http://schemas.openxmlformats.org/officeDocument/2006/relationships/hyperlink" Target="https://hudsoninsgroup.com/" TargetMode="External"/><Relationship Id="rId83" Type="http://schemas.openxmlformats.org/officeDocument/2006/relationships/hyperlink" Target="https://rioninsura.com/" TargetMode="External"/><Relationship Id="rId86" Type="http://schemas.openxmlformats.org/officeDocument/2006/relationships/hyperlink" Target="https://www.tatacapital.com/tchfl/insurance/life-insurance/products.html" TargetMode="External"/><Relationship Id="rId85" Type="http://schemas.openxmlformats.org/officeDocument/2006/relationships/hyperlink" Target="https://www.unilight.in/life-insurance.php" TargetMode="External"/><Relationship Id="rId88" Type="http://schemas.openxmlformats.org/officeDocument/2006/relationships/hyperlink" Target="https://www.apurban.com/" TargetMode="External"/><Relationship Id="rId150" Type="http://schemas.openxmlformats.org/officeDocument/2006/relationships/hyperlink" Target="https://www.ntrust.co.in" TargetMode="External"/><Relationship Id="rId271" Type="http://schemas.openxmlformats.org/officeDocument/2006/relationships/hyperlink" Target="https://www.askfinancials.com/ask-group/home/" TargetMode="External"/><Relationship Id="rId87" Type="http://schemas.openxmlformats.org/officeDocument/2006/relationships/hyperlink" Target="https://www.prudentcorporate.com/productofferings" TargetMode="External"/><Relationship Id="rId270" Type="http://schemas.openxmlformats.org/officeDocument/2006/relationships/hyperlink" Target="https://www.adityabirlacapital.com/" TargetMode="External"/><Relationship Id="rId89" Type="http://schemas.openxmlformats.org/officeDocument/2006/relationships/hyperlink" Target="https://securenow.in/" TargetMode="External"/><Relationship Id="rId80" Type="http://schemas.openxmlformats.org/officeDocument/2006/relationships/hyperlink" Target="https://www.sarvagram.com/insurance/" TargetMode="External"/><Relationship Id="rId82" Type="http://schemas.openxmlformats.org/officeDocument/2006/relationships/hyperlink" Target="https://www.bajajhousingfinance.in/" TargetMode="External"/><Relationship Id="rId81" Type="http://schemas.openxmlformats.org/officeDocument/2006/relationships/hyperlink" Target="https://www.coversure.in/" TargetMode="External"/><Relationship Id="rId1" Type="http://schemas.openxmlformats.org/officeDocument/2006/relationships/hyperlink" Target="https://bandhan.bank.in/personal/life-insurance" TargetMode="External"/><Relationship Id="rId2" Type="http://schemas.openxmlformats.org/officeDocument/2006/relationships/hyperlink" Target="https://www.kvb.bank.in/personal/insurance-personal/personal-life-insurance/" TargetMode="External"/><Relationship Id="rId3" Type="http://schemas.openxmlformats.org/officeDocument/2006/relationships/hyperlink" Target="https://cityunionbank.bank.in/" TargetMode="External"/><Relationship Id="rId149" Type="http://schemas.openxmlformats.org/officeDocument/2006/relationships/hyperlink" Target="https://inditrade.com" TargetMode="External"/><Relationship Id="rId4" Type="http://schemas.openxmlformats.org/officeDocument/2006/relationships/hyperlink" Target="https://www.tmb.bank.in/pages/Life-Insurance" TargetMode="External"/><Relationship Id="rId148" Type="http://schemas.openxmlformats.org/officeDocument/2006/relationships/hyperlink" Target="https://ubgb.in" TargetMode="External"/><Relationship Id="rId269" Type="http://schemas.openxmlformats.org/officeDocument/2006/relationships/hyperlink" Target="https://www.arhamshare.com/" TargetMode="External"/><Relationship Id="rId9" Type="http://schemas.openxmlformats.org/officeDocument/2006/relationships/hyperlink" Target="https://www.infinainsure.com/index.html" TargetMode="External"/><Relationship Id="rId143" Type="http://schemas.openxmlformats.org/officeDocument/2006/relationships/hyperlink" Target="https://www.bimaguide.com" TargetMode="External"/><Relationship Id="rId264" Type="http://schemas.openxmlformats.org/officeDocument/2006/relationships/hyperlink" Target="https://belstar.in/" TargetMode="External"/><Relationship Id="rId142" Type="http://schemas.openxmlformats.org/officeDocument/2006/relationships/hyperlink" Target="https://posp.policyplanner.com/core/become-bajaj-insurance-agent" TargetMode="External"/><Relationship Id="rId263" Type="http://schemas.openxmlformats.org/officeDocument/2006/relationships/hyperlink" Target="https://devanshinsurance.com/" TargetMode="External"/><Relationship Id="rId141" Type="http://schemas.openxmlformats.org/officeDocument/2006/relationships/hyperlink" Target="https://tamarindinsurance.com" TargetMode="External"/><Relationship Id="rId262" Type="http://schemas.openxmlformats.org/officeDocument/2006/relationships/hyperlink" Target="https://www.apollo247insurance.com/" TargetMode="External"/><Relationship Id="rId140" Type="http://schemas.openxmlformats.org/officeDocument/2006/relationships/hyperlink" Target="https://www.loophealth.com" TargetMode="External"/><Relationship Id="rId261" Type="http://schemas.openxmlformats.org/officeDocument/2006/relationships/hyperlink" Target="https://akshayagroup.net/" TargetMode="External"/><Relationship Id="rId5" Type="http://schemas.openxmlformats.org/officeDocument/2006/relationships/hyperlink" Target="https://equitas.bank.in/personal-banking/insure/insurance/life-insurance/" TargetMode="External"/><Relationship Id="rId147" Type="http://schemas.openxmlformats.org/officeDocument/2006/relationships/hyperlink" Target="https://nidohomefin.com" TargetMode="External"/><Relationship Id="rId268" Type="http://schemas.openxmlformats.org/officeDocument/2006/relationships/hyperlink" Target="https://aliceblueonline.com/" TargetMode="External"/><Relationship Id="rId6" Type="http://schemas.openxmlformats.org/officeDocument/2006/relationships/hyperlink" Target="https://www.fincharts.co.in/" TargetMode="External"/><Relationship Id="rId146" Type="http://schemas.openxmlformats.org/officeDocument/2006/relationships/hyperlink" Target="https://eclfinance.edelweissfin.com" TargetMode="External"/><Relationship Id="rId267" Type="http://schemas.openxmlformats.org/officeDocument/2006/relationships/hyperlink" Target="https://altumcredo.co.in/" TargetMode="External"/><Relationship Id="rId7" Type="http://schemas.openxmlformats.org/officeDocument/2006/relationships/hyperlink" Target="https://dolphininsurance.in/our-partner/" TargetMode="External"/><Relationship Id="rId145" Type="http://schemas.openxmlformats.org/officeDocument/2006/relationships/hyperlink" Target="https://upstox.com" TargetMode="External"/><Relationship Id="rId266" Type="http://schemas.openxmlformats.org/officeDocument/2006/relationships/hyperlink" Target="https://fusionfin.com/" TargetMode="External"/><Relationship Id="rId8" Type="http://schemas.openxmlformats.org/officeDocument/2006/relationships/hyperlink" Target="https://www.crci.in/" TargetMode="External"/><Relationship Id="rId144" Type="http://schemas.openxmlformats.org/officeDocument/2006/relationships/hyperlink" Target="https://sssriskmanagement.com" TargetMode="External"/><Relationship Id="rId265" Type="http://schemas.openxmlformats.org/officeDocument/2006/relationships/hyperlink" Target="https://coverkraft.com/" TargetMode="External"/><Relationship Id="rId73" Type="http://schemas.openxmlformats.org/officeDocument/2006/relationships/hyperlink" Target="https://gosreefinance.com/" TargetMode="External"/><Relationship Id="rId72" Type="http://schemas.openxmlformats.org/officeDocument/2006/relationships/hyperlink" Target="https://www.karnatakabank.bank.in/personal/insurance/life-insurance" TargetMode="External"/><Relationship Id="rId75" Type="http://schemas.openxmlformats.org/officeDocument/2006/relationships/hyperlink" Target="https://dmtkendra.com/LifeInsurance" TargetMode="External"/><Relationship Id="rId74" Type="http://schemas.openxmlformats.org/officeDocument/2006/relationships/hyperlink" Target="https://www.akshayawealth.com/" TargetMode="External"/><Relationship Id="rId77" Type="http://schemas.openxmlformats.org/officeDocument/2006/relationships/hyperlink" Target="https://www.aon.com/en/" TargetMode="External"/><Relationship Id="rId260" Type="http://schemas.openxmlformats.org/officeDocument/2006/relationships/hyperlink" Target="https://winsurance.in/" TargetMode="External"/><Relationship Id="rId76" Type="http://schemas.openxmlformats.org/officeDocument/2006/relationships/hyperlink" Target="https://www.righthorizons.com/" TargetMode="External"/><Relationship Id="rId79" Type="http://schemas.openxmlformats.org/officeDocument/2006/relationships/hyperlink" Target="https://peerless.co.in/" TargetMode="External"/><Relationship Id="rId78" Type="http://schemas.openxmlformats.org/officeDocument/2006/relationships/hyperlink" Target="https://www.pmpib.com/individual-insurance/" TargetMode="External"/><Relationship Id="rId71" Type="http://schemas.openxmlformats.org/officeDocument/2006/relationships/hyperlink" Target="https://www.easyhomefinance.in/" TargetMode="External"/><Relationship Id="rId70" Type="http://schemas.openxmlformats.org/officeDocument/2006/relationships/hyperlink" Target="https://www.indusind.bank.in/in/en/personal/insurance.html" TargetMode="External"/><Relationship Id="rId139" Type="http://schemas.openxmlformats.org/officeDocument/2006/relationships/hyperlink" Target="https://www.way2wealth.com" TargetMode="External"/><Relationship Id="rId138" Type="http://schemas.openxmlformats.org/officeDocument/2006/relationships/hyperlink" Target="https://www.sriyah.in/wp-content/uploads/claim-forms/motor/Bajaj%20Allianz%20Motor%20Claim%20form%20with%20Satisfaction%20Voucher.pdf" TargetMode="External"/><Relationship Id="rId259" Type="http://schemas.openxmlformats.org/officeDocument/2006/relationships/hyperlink" Target="https://www.derisq.com/" TargetMode="External"/><Relationship Id="rId137" Type="http://schemas.openxmlformats.org/officeDocument/2006/relationships/hyperlink" Target="https://in.policy.online/web/insurance-company/bajaj-allianz-life-insurance-company-limited/" TargetMode="External"/><Relationship Id="rId258" Type="http://schemas.openxmlformats.org/officeDocument/2006/relationships/hyperlink" Target="https://apgb.bank.in/" TargetMode="External"/><Relationship Id="rId132" Type="http://schemas.openxmlformats.org/officeDocument/2006/relationships/hyperlink" Target="https://igniteinsurancebroking.com" TargetMode="External"/><Relationship Id="rId253" Type="http://schemas.openxmlformats.org/officeDocument/2006/relationships/hyperlink" Target="https://www.planswellib.com/" TargetMode="External"/><Relationship Id="rId131" Type="http://schemas.openxmlformats.org/officeDocument/2006/relationships/hyperlink" Target="https://www.telosrisk.com" TargetMode="External"/><Relationship Id="rId252" Type="http://schemas.openxmlformats.org/officeDocument/2006/relationships/hyperlink" Target="https://www.cars24.com/" TargetMode="External"/><Relationship Id="rId130" Type="http://schemas.openxmlformats.org/officeDocument/2006/relationships/hyperlink" Target="https://insurancemanager.com" TargetMode="External"/><Relationship Id="rId251" Type="http://schemas.openxmlformats.org/officeDocument/2006/relationships/hyperlink" Target="https://www.wbgb.bank.in/" TargetMode="External"/><Relationship Id="rId250" Type="http://schemas.openxmlformats.org/officeDocument/2006/relationships/hyperlink" Target="https://www.indiashelter.in/" TargetMode="External"/><Relationship Id="rId136" Type="http://schemas.openxmlformats.org/officeDocument/2006/relationships/hyperlink" Target="https://www.adityabirlamoney.com" TargetMode="External"/><Relationship Id="rId257" Type="http://schemas.openxmlformats.org/officeDocument/2006/relationships/hyperlink" Target="https://www.nainitalbank.bank.in/english/home.aspx" TargetMode="External"/><Relationship Id="rId135" Type="http://schemas.openxmlformats.org/officeDocument/2006/relationships/hyperlink" Target="https://nabfins.org" TargetMode="External"/><Relationship Id="rId256" Type="http://schemas.openxmlformats.org/officeDocument/2006/relationships/hyperlink" Target="https://bimabro.com/" TargetMode="External"/><Relationship Id="rId134" Type="http://schemas.openxmlformats.org/officeDocument/2006/relationships/hyperlink" Target="http://www.aibl.in" TargetMode="External"/><Relationship Id="rId255" Type="http://schemas.openxmlformats.org/officeDocument/2006/relationships/hyperlink" Target="https://www.rrpolicy.com/" TargetMode="External"/><Relationship Id="rId133" Type="http://schemas.openxmlformats.org/officeDocument/2006/relationships/hyperlink" Target="https://premiainsurance.in" TargetMode="External"/><Relationship Id="rId254" Type="http://schemas.openxmlformats.org/officeDocument/2006/relationships/hyperlink" Target="https://riskbirbal.com/services/insurance-policies" TargetMode="External"/><Relationship Id="rId62" Type="http://schemas.openxmlformats.org/officeDocument/2006/relationships/hyperlink" Target="https://bimapunj.com/" TargetMode="External"/><Relationship Id="rId61" Type="http://schemas.openxmlformats.org/officeDocument/2006/relationships/hyperlink" Target="https://www.sixthsenseinsurance.com/" TargetMode="External"/><Relationship Id="rId64" Type="http://schemas.openxmlformats.org/officeDocument/2006/relationships/hyperlink" Target="https://www.tatacapital.com/tchfl.html" TargetMode="External"/><Relationship Id="rId63" Type="http://schemas.openxmlformats.org/officeDocument/2006/relationships/hyperlink" Target="https://advancelifeinsurance.in/" TargetMode="External"/><Relationship Id="rId66" Type="http://schemas.openxmlformats.org/officeDocument/2006/relationships/hyperlink" Target="https://joinditto.in/" TargetMode="External"/><Relationship Id="rId172" Type="http://schemas.openxmlformats.org/officeDocument/2006/relationships/hyperlink" Target="http://rudrainsurance.website2.me/" TargetMode="External"/><Relationship Id="rId293" Type="http://schemas.openxmlformats.org/officeDocument/2006/relationships/hyperlink" Target="https://www.zoominsurancebrokers.com/" TargetMode="External"/><Relationship Id="rId65" Type="http://schemas.openxmlformats.org/officeDocument/2006/relationships/hyperlink" Target="https://www.finnovate.in/" TargetMode="External"/><Relationship Id="rId171" Type="http://schemas.openxmlformats.org/officeDocument/2006/relationships/hyperlink" Target="https://respo.co.in/" TargetMode="External"/><Relationship Id="rId292" Type="http://schemas.openxmlformats.org/officeDocument/2006/relationships/hyperlink" Target="https://www.providenceindia.in/" TargetMode="External"/><Relationship Id="rId68" Type="http://schemas.openxmlformats.org/officeDocument/2006/relationships/hyperlink" Target="https://www.pazcare.com/" TargetMode="External"/><Relationship Id="rId170" Type="http://schemas.openxmlformats.org/officeDocument/2006/relationships/hyperlink" Target="https://www.sparkadvisors.in/about-us" TargetMode="External"/><Relationship Id="rId291" Type="http://schemas.openxmlformats.org/officeDocument/2006/relationships/hyperlink" Target="https://www.smcinsurance.com/" TargetMode="External"/><Relationship Id="rId67" Type="http://schemas.openxmlformats.org/officeDocument/2006/relationships/hyperlink" Target="https://palminsurance.in/" TargetMode="External"/><Relationship Id="rId290" Type="http://schemas.openxmlformats.org/officeDocument/2006/relationships/hyperlink" Target="https://www.trustline.in/contact" TargetMode="External"/><Relationship Id="rId60" Type="http://schemas.openxmlformats.org/officeDocument/2006/relationships/hyperlink" Target="http://www.cmsinsurancebrokers.com/" TargetMode="External"/><Relationship Id="rId165" Type="http://schemas.openxmlformats.org/officeDocument/2006/relationships/hyperlink" Target="https://www.shriramfinance.in/" TargetMode="External"/><Relationship Id="rId286" Type="http://schemas.openxmlformats.org/officeDocument/2006/relationships/hyperlink" Target="https://beacon.co.in/" TargetMode="External"/><Relationship Id="rId69" Type="http://schemas.openxmlformats.org/officeDocument/2006/relationships/hyperlink" Target="https://www.oneassure.in/term-insurance" TargetMode="External"/><Relationship Id="rId164" Type="http://schemas.openxmlformats.org/officeDocument/2006/relationships/hyperlink" Target="https://homefinance.adityabirlacapital.com/" TargetMode="External"/><Relationship Id="rId285" Type="http://schemas.openxmlformats.org/officeDocument/2006/relationships/hyperlink" Target="https://prathamaupbank.com/InternetBanking.aspx" TargetMode="External"/><Relationship Id="rId163" Type="http://schemas.openxmlformats.org/officeDocument/2006/relationships/hyperlink" Target="https://epsilonmoney.com/life-insurance/" TargetMode="External"/><Relationship Id="rId284" Type="http://schemas.openxmlformats.org/officeDocument/2006/relationships/hyperlink" Target="https://www.probusinsurance.com/" TargetMode="External"/><Relationship Id="rId162" Type="http://schemas.openxmlformats.org/officeDocument/2006/relationships/hyperlink" Target="https://www.prameshwealth.com/" TargetMode="External"/><Relationship Id="rId283" Type="http://schemas.openxmlformats.org/officeDocument/2006/relationships/hyperlink" Target="https://allianceinsurance.in/" TargetMode="External"/><Relationship Id="rId169" Type="http://schemas.openxmlformats.org/officeDocument/2006/relationships/hyperlink" Target="https://merasuraksha.com/login" TargetMode="External"/><Relationship Id="rId168" Type="http://schemas.openxmlformats.org/officeDocument/2006/relationships/hyperlink" Target="https://bimasolutions.com/" TargetMode="External"/><Relationship Id="rId289" Type="http://schemas.openxmlformats.org/officeDocument/2006/relationships/hyperlink" Target="https://livlonginsurance.com/" TargetMode="External"/><Relationship Id="rId167" Type="http://schemas.openxmlformats.org/officeDocument/2006/relationships/hyperlink" Target="https://wealthkartinsurance.com/" TargetMode="External"/><Relationship Id="rId288" Type="http://schemas.openxmlformats.org/officeDocument/2006/relationships/hyperlink" Target="https://arunayainsurance.in/" TargetMode="External"/><Relationship Id="rId166" Type="http://schemas.openxmlformats.org/officeDocument/2006/relationships/hyperlink" Target="https://www.policysansar.com/" TargetMode="External"/><Relationship Id="rId287" Type="http://schemas.openxmlformats.org/officeDocument/2006/relationships/hyperlink" Target="https://www.njgroup.in/nj-insurance.php" TargetMode="External"/><Relationship Id="rId51" Type="http://schemas.openxmlformats.org/officeDocument/2006/relationships/hyperlink" Target="https://healthysure.in/products/" TargetMode="External"/><Relationship Id="rId50" Type="http://schemas.openxmlformats.org/officeDocument/2006/relationships/hyperlink" Target="https://m.assetplus.in/" TargetMode="External"/><Relationship Id="rId53" Type="http://schemas.openxmlformats.org/officeDocument/2006/relationships/hyperlink" Target="https://www.ethika.co.in/" TargetMode="External"/><Relationship Id="rId52" Type="http://schemas.openxmlformats.org/officeDocument/2006/relationships/hyperlink" Target="https://securus.in/insurance" TargetMode="External"/><Relationship Id="rId55" Type="http://schemas.openxmlformats.org/officeDocument/2006/relationships/hyperlink" Target="https://bharatbhushaninsurance.com/lifeInsurance.aspx" TargetMode="External"/><Relationship Id="rId161" Type="http://schemas.openxmlformats.org/officeDocument/2006/relationships/hyperlink" Target="https://zebuetrade.com/insurance" TargetMode="External"/><Relationship Id="rId282" Type="http://schemas.openxmlformats.org/officeDocument/2006/relationships/hyperlink" Target="https://muthootinsurancebrokers.com/" TargetMode="External"/><Relationship Id="rId54" Type="http://schemas.openxmlformats.org/officeDocument/2006/relationships/hyperlink" Target="https://www.peraj.com/" TargetMode="External"/><Relationship Id="rId160" Type="http://schemas.openxmlformats.org/officeDocument/2006/relationships/hyperlink" Target="https://www.manappuram.com/events/manappuram-insurance-brokers-ltd-inaugurated-new-corporate-office" TargetMode="External"/><Relationship Id="rId281" Type="http://schemas.openxmlformats.org/officeDocument/2006/relationships/hyperlink" Target="https://vizzainsurance.com/home" TargetMode="External"/><Relationship Id="rId57" Type="http://schemas.openxmlformats.org/officeDocument/2006/relationships/hyperlink" Target="https://www.aceinsuranceindia.com/index.html" TargetMode="External"/><Relationship Id="rId280" Type="http://schemas.openxmlformats.org/officeDocument/2006/relationships/hyperlink" Target="https://www.turtlemintinsurance.com/life-insurance-companies/bajaj-allianz-life-insurance/" TargetMode="External"/><Relationship Id="rId56" Type="http://schemas.openxmlformats.org/officeDocument/2006/relationships/hyperlink" Target="https://policyera.com/products/personal-term-life-insurance/" TargetMode="External"/><Relationship Id="rId159" Type="http://schemas.openxmlformats.org/officeDocument/2006/relationships/hyperlink" Target="https://www.yes.bank.in/personal-banking/yes-individual/insurance/life-insurance" TargetMode="External"/><Relationship Id="rId59" Type="http://schemas.openxmlformats.org/officeDocument/2006/relationships/hyperlink" Target="https://centrum.co.in/" TargetMode="External"/><Relationship Id="rId154" Type="http://schemas.openxmlformats.org/officeDocument/2006/relationships/hyperlink" Target="https://www.rbl.bank.in/personal-banking/insurance/life-insurance/bajaj-life-insurance" TargetMode="External"/><Relationship Id="rId275" Type="http://schemas.openxmlformats.org/officeDocument/2006/relationships/hyperlink" Target="https://www.zaubacorp.com/ROBINHOOD-INSURANCE-BROKER-PRIVATE-LIMITED-U67200MH2008PTC180492" TargetMode="External"/><Relationship Id="rId58" Type="http://schemas.openxmlformats.org/officeDocument/2006/relationships/hyperlink" Target="https://edifybrokers.com/personal-insurance/" TargetMode="External"/><Relationship Id="rId153" Type="http://schemas.openxmlformats.org/officeDocument/2006/relationships/hyperlink" Target="https://www.axis.bank.in/insurance/life-insurance" TargetMode="External"/><Relationship Id="rId274" Type="http://schemas.openxmlformats.org/officeDocument/2006/relationships/hyperlink" Target="https://www.bajajcapitalinsurance.com/" TargetMode="External"/><Relationship Id="rId152" Type="http://schemas.openxmlformats.org/officeDocument/2006/relationships/hyperlink" Target="https://kausalyam.com" TargetMode="External"/><Relationship Id="rId273" Type="http://schemas.openxmlformats.org/officeDocument/2006/relationships/hyperlink" Target="https://www.motilaloswal.com/" TargetMode="External"/><Relationship Id="rId151" Type="http://schemas.openxmlformats.org/officeDocument/2006/relationships/hyperlink" Target="https://www.raghnall.co.in" TargetMode="External"/><Relationship Id="rId272" Type="http://schemas.openxmlformats.org/officeDocument/2006/relationships/hyperlink" Target="https://www.mahagramin.in/life-insurance" TargetMode="External"/><Relationship Id="rId158" Type="http://schemas.openxmlformats.org/officeDocument/2006/relationships/hyperlink" Target="https://jkb.bank.in/deposits/life-insurance" TargetMode="External"/><Relationship Id="rId279" Type="http://schemas.openxmlformats.org/officeDocument/2006/relationships/hyperlink" Target="https://www.salasarservices.com/retail/life-insurance" TargetMode="External"/><Relationship Id="rId157" Type="http://schemas.openxmlformats.org/officeDocument/2006/relationships/hyperlink" Target="https://punjabandsind.bank.in/content/bajaj-life-insurance-co" TargetMode="External"/><Relationship Id="rId278" Type="http://schemas.openxmlformats.org/officeDocument/2006/relationships/hyperlink" Target="https://anandrathiinsurance.com/group-term-life-insurance" TargetMode="External"/><Relationship Id="rId156" Type="http://schemas.openxmlformats.org/officeDocument/2006/relationships/hyperlink" Target="https://www.dbs.bank.in/in/treasures/insurance/life-insurance/default.page" TargetMode="External"/><Relationship Id="rId277" Type="http://schemas.openxmlformats.org/officeDocument/2006/relationships/hyperlink" Target="https://www.benefitme.co.in/" TargetMode="External"/><Relationship Id="rId155" Type="http://schemas.openxmlformats.org/officeDocument/2006/relationships/hyperlink" Target="https://www.idfcfirst.bank.in/personal-banking/investments-and-insurance" TargetMode="External"/><Relationship Id="rId276" Type="http://schemas.openxmlformats.org/officeDocument/2006/relationships/hyperlink" Target="https://bluechipindia.co.in/" TargetMode="External"/><Relationship Id="rId107" Type="http://schemas.openxmlformats.org/officeDocument/2006/relationships/hyperlink" Target="https://www.fortunefive.in" TargetMode="External"/><Relationship Id="rId228" Type="http://schemas.openxmlformats.org/officeDocument/2006/relationships/hyperlink" Target="https://pos.bajajcapitalinsurance.com/" TargetMode="External"/><Relationship Id="rId349" Type="http://schemas.openxmlformats.org/officeDocument/2006/relationships/hyperlink" Target="https://www.zopperinsurance.com/" TargetMode="External"/><Relationship Id="rId106" Type="http://schemas.openxmlformats.org/officeDocument/2006/relationships/hyperlink" Target="https://www.bimavima.com" TargetMode="External"/><Relationship Id="rId227" Type="http://schemas.openxmlformats.org/officeDocument/2006/relationships/hyperlink" Target="https://www.geojit.com/" TargetMode="External"/><Relationship Id="rId348" Type="http://schemas.openxmlformats.org/officeDocument/2006/relationships/hyperlink" Target="https://www.wisdominsurance.in/" TargetMode="External"/><Relationship Id="rId105" Type="http://schemas.openxmlformats.org/officeDocument/2006/relationships/hyperlink" Target="https://navnitinsurance.com" TargetMode="External"/><Relationship Id="rId226" Type="http://schemas.openxmlformats.org/officeDocument/2006/relationships/hyperlink" Target="https://www.globalfinsol.in/" TargetMode="External"/><Relationship Id="rId347" Type="http://schemas.openxmlformats.org/officeDocument/2006/relationships/hyperlink" Target="https://tvsinsurance.in/" TargetMode="External"/><Relationship Id="rId104" Type="http://schemas.openxmlformats.org/officeDocument/2006/relationships/hyperlink" Target="https://familyraksha.com/wp-content/uploads/2024/08/BAJAJ-AWG-brochure.pdf" TargetMode="External"/><Relationship Id="rId225" Type="http://schemas.openxmlformats.org/officeDocument/2006/relationships/hyperlink" Target="https://www.finhaat.com/about-us" TargetMode="External"/><Relationship Id="rId346" Type="http://schemas.openxmlformats.org/officeDocument/2006/relationships/hyperlink" Target="https://www.raintreeinsurance.in/life-insurance/" TargetMode="External"/><Relationship Id="rId109" Type="http://schemas.openxmlformats.org/officeDocument/2006/relationships/hyperlink" Target="https://www.beema1.com" TargetMode="External"/><Relationship Id="rId108" Type="http://schemas.openxmlformats.org/officeDocument/2006/relationships/hyperlink" Target="https://goinsureindia.com" TargetMode="External"/><Relationship Id="rId229" Type="http://schemas.openxmlformats.org/officeDocument/2006/relationships/hyperlink" Target="https://anandrathi.com/" TargetMode="External"/><Relationship Id="rId220" Type="http://schemas.openxmlformats.org/officeDocument/2006/relationships/hyperlink" Target="https://migooinsurance.com/" TargetMode="External"/><Relationship Id="rId341" Type="http://schemas.openxmlformats.org/officeDocument/2006/relationships/hyperlink" Target="https://www.fundtreeindia.com/index.html" TargetMode="External"/><Relationship Id="rId340" Type="http://schemas.openxmlformats.org/officeDocument/2006/relationships/hyperlink" Target="https://www.sushilfinance.com/about" TargetMode="External"/><Relationship Id="rId103" Type="http://schemas.openxmlformats.org/officeDocument/2006/relationships/hyperlink" Target="https://www.nkgsb-bank.com/" TargetMode="External"/><Relationship Id="rId224" Type="http://schemas.openxmlformats.org/officeDocument/2006/relationships/hyperlink" Target="https://www.gibl.in/life-insurance/" TargetMode="External"/><Relationship Id="rId345" Type="http://schemas.openxmlformats.org/officeDocument/2006/relationships/hyperlink" Target="https://vagmi.org/insurance/" TargetMode="External"/><Relationship Id="rId102" Type="http://schemas.openxmlformats.org/officeDocument/2006/relationships/hyperlink" Target="https://www.ujjivansfb.bank.in/personal/insurance/third-party-product-life-insurance" TargetMode="External"/><Relationship Id="rId223" Type="http://schemas.openxmlformats.org/officeDocument/2006/relationships/hyperlink" Target="https://spsinsurance.in/" TargetMode="External"/><Relationship Id="rId344" Type="http://schemas.openxmlformats.org/officeDocument/2006/relationships/hyperlink" Target="https://alete.in/" TargetMode="External"/><Relationship Id="rId101" Type="http://schemas.openxmlformats.org/officeDocument/2006/relationships/hyperlink" Target="https://www.federal.bank.in/bajaj-life-insurance" TargetMode="External"/><Relationship Id="rId222" Type="http://schemas.openxmlformats.org/officeDocument/2006/relationships/hyperlink" Target="https://insta-policy.com/" TargetMode="External"/><Relationship Id="rId343" Type="http://schemas.openxmlformats.org/officeDocument/2006/relationships/hyperlink" Target="https://www.apeejaygroup.com/apeejayInsurance.html" TargetMode="External"/><Relationship Id="rId100" Type="http://schemas.openxmlformats.org/officeDocument/2006/relationships/hyperlink" Target="https://www.southindianbank.bank.in/" TargetMode="External"/><Relationship Id="rId221" Type="http://schemas.openxmlformats.org/officeDocument/2006/relationships/hyperlink" Target="https://saralinsurancebroking.com/" TargetMode="External"/><Relationship Id="rId342" Type="http://schemas.openxmlformats.org/officeDocument/2006/relationships/hyperlink" Target="https://samavesh.in/" TargetMode="External"/><Relationship Id="rId217" Type="http://schemas.openxmlformats.org/officeDocument/2006/relationships/hyperlink" Target="https://www.cholamandalam.com/" TargetMode="External"/><Relationship Id="rId338" Type="http://schemas.openxmlformats.org/officeDocument/2006/relationships/hyperlink" Target="https://www.ivainsurance.com/" TargetMode="External"/><Relationship Id="rId216" Type="http://schemas.openxmlformats.org/officeDocument/2006/relationships/hyperlink" Target="https://www.sgrlimited.in/Default.aspx" TargetMode="External"/><Relationship Id="rId337" Type="http://schemas.openxmlformats.org/officeDocument/2006/relationships/hyperlink" Target="https://yellainsure.com/" TargetMode="External"/><Relationship Id="rId215" Type="http://schemas.openxmlformats.org/officeDocument/2006/relationships/hyperlink" Target="https://purpleumbrella.in/" TargetMode="External"/><Relationship Id="rId336" Type="http://schemas.openxmlformats.org/officeDocument/2006/relationships/hyperlink" Target="https://unisoninsurance.net/" TargetMode="External"/><Relationship Id="rId214" Type="http://schemas.openxmlformats.org/officeDocument/2006/relationships/hyperlink" Target="https://kaninsure.com/OurPartners.aspx" TargetMode="External"/><Relationship Id="rId335" Type="http://schemas.openxmlformats.org/officeDocument/2006/relationships/hyperlink" Target="https://www.qian.co.in/" TargetMode="External"/><Relationship Id="rId219" Type="http://schemas.openxmlformats.org/officeDocument/2006/relationships/hyperlink" Target="https://policygrace.com/" TargetMode="External"/><Relationship Id="rId218" Type="http://schemas.openxmlformats.org/officeDocument/2006/relationships/hyperlink" Target="https://wmgwealth.in/" TargetMode="External"/><Relationship Id="rId339" Type="http://schemas.openxmlformats.org/officeDocument/2006/relationships/hyperlink" Target="https://www.dishainsurance.com/lander" TargetMode="External"/><Relationship Id="rId330" Type="http://schemas.openxmlformats.org/officeDocument/2006/relationships/hyperlink" Target="https://visistarisk.com/" TargetMode="External"/><Relationship Id="rId213" Type="http://schemas.openxmlformats.org/officeDocument/2006/relationships/hyperlink" Target="https://www.policicue.com/" TargetMode="External"/><Relationship Id="rId334" Type="http://schemas.openxmlformats.org/officeDocument/2006/relationships/hyperlink" Target="https://www.aviainsurance.in/" TargetMode="External"/><Relationship Id="rId212" Type="http://schemas.openxmlformats.org/officeDocument/2006/relationships/hyperlink" Target="https://bluebellsinsurancebroking.com/" TargetMode="External"/><Relationship Id="rId333" Type="http://schemas.openxmlformats.org/officeDocument/2006/relationships/hyperlink" Target="https://www.insurejoy.com/term-insurance" TargetMode="External"/><Relationship Id="rId211" Type="http://schemas.openxmlformats.org/officeDocument/2006/relationships/hyperlink" Target="https://pulsecue.in/index.html" TargetMode="External"/><Relationship Id="rId332" Type="http://schemas.openxmlformats.org/officeDocument/2006/relationships/hyperlink" Target="https://insureefficient.com/" TargetMode="External"/><Relationship Id="rId210" Type="http://schemas.openxmlformats.org/officeDocument/2006/relationships/hyperlink" Target="https://www.rminsurance.in/" TargetMode="External"/><Relationship Id="rId331" Type="http://schemas.openxmlformats.org/officeDocument/2006/relationships/hyperlink" Target="https://www.nuvamawealth.com/products/insurance/life-insurance" TargetMode="External"/><Relationship Id="rId129" Type="http://schemas.openxmlformats.org/officeDocument/2006/relationships/hyperlink" Target="https://nhanceindia.in" TargetMode="External"/><Relationship Id="rId128" Type="http://schemas.openxmlformats.org/officeDocument/2006/relationships/hyperlink" Target="https://rakshamitra.com" TargetMode="External"/><Relationship Id="rId249" Type="http://schemas.openxmlformats.org/officeDocument/2006/relationships/hyperlink" Target="https://www.jmflhomeloans.com/ords/r/jmfhlwebapi/jm-financial-home-loans/home" TargetMode="External"/><Relationship Id="rId127" Type="http://schemas.openxmlformats.org/officeDocument/2006/relationships/hyperlink" Target="https://www.tatamotorsinsurancebrokers.com/" TargetMode="External"/><Relationship Id="rId248" Type="http://schemas.openxmlformats.org/officeDocument/2006/relationships/hyperlink" Target="https://www.haritainsurancebroking.com/" TargetMode="External"/><Relationship Id="rId126" Type="http://schemas.openxmlformats.org/officeDocument/2006/relationships/hyperlink" Target="https://capriglobal.in/" TargetMode="External"/><Relationship Id="rId247" Type="http://schemas.openxmlformats.org/officeDocument/2006/relationships/hyperlink" Target="https://svojasinsurancebrokers.com/" TargetMode="External"/><Relationship Id="rId121" Type="http://schemas.openxmlformats.org/officeDocument/2006/relationships/hyperlink" Target="https://takemyinsurance.com/Life-Insurance/generatelicrequest.aspx?step=detail-selection-screen" TargetMode="External"/><Relationship Id="rId242" Type="http://schemas.openxmlformats.org/officeDocument/2006/relationships/hyperlink" Target="https://rohahousing.com/" TargetMode="External"/><Relationship Id="rId363" Type="http://schemas.openxmlformats.org/officeDocument/2006/relationships/drawing" Target="../drawings/drawing1.xml"/><Relationship Id="rId120" Type="http://schemas.openxmlformats.org/officeDocument/2006/relationships/hyperlink" Target="https://secureezy.com/" TargetMode="External"/><Relationship Id="rId241" Type="http://schemas.openxmlformats.org/officeDocument/2006/relationships/hyperlink" Target="https://advanceindiabrokers.com/index?returnUrl=%2F" TargetMode="External"/><Relationship Id="rId362" Type="http://schemas.openxmlformats.org/officeDocument/2006/relationships/hyperlink" Target="https://plinsurance.co.in/" TargetMode="External"/><Relationship Id="rId240" Type="http://schemas.openxmlformats.org/officeDocument/2006/relationships/hyperlink" Target="https://beemaaa.com/" TargetMode="External"/><Relationship Id="rId361" Type="http://schemas.openxmlformats.org/officeDocument/2006/relationships/hyperlink" Target="https://drvindia.com/" TargetMode="External"/><Relationship Id="rId360" Type="http://schemas.openxmlformats.org/officeDocument/2006/relationships/hyperlink" Target="https://armourrinsurance.com/" TargetMode="External"/><Relationship Id="rId125" Type="http://schemas.openxmlformats.org/officeDocument/2006/relationships/hyperlink" Target="https://aapkapolicywala.com" TargetMode="External"/><Relationship Id="rId246" Type="http://schemas.openxmlformats.org/officeDocument/2006/relationships/hyperlink" Target="https://www.trustner.in/services/insurance-solutions" TargetMode="External"/><Relationship Id="rId124" Type="http://schemas.openxmlformats.org/officeDocument/2006/relationships/hyperlink" Target="https://www.kmdastur.com" TargetMode="External"/><Relationship Id="rId245" Type="http://schemas.openxmlformats.org/officeDocument/2006/relationships/hyperlink" Target="https://vimainsurance.com/" TargetMode="External"/><Relationship Id="rId123" Type="http://schemas.openxmlformats.org/officeDocument/2006/relationships/hyperlink" Target="https://muthootmicrofin.com" TargetMode="External"/><Relationship Id="rId244" Type="http://schemas.openxmlformats.org/officeDocument/2006/relationships/hyperlink" Target="https://futurefirstindia.com/" TargetMode="External"/><Relationship Id="rId122" Type="http://schemas.openxmlformats.org/officeDocument/2006/relationships/hyperlink" Target="https://www.lifeandgeneral.com" TargetMode="External"/><Relationship Id="rId243" Type="http://schemas.openxmlformats.org/officeDocument/2006/relationships/hyperlink" Target="https://www.paulmerchantsfin.com/" TargetMode="External"/><Relationship Id="rId95" Type="http://schemas.openxmlformats.org/officeDocument/2006/relationships/hyperlink" Target="https://www.svc.bank.in/apply-now/life-insurance/Life%20Insurance/Bringing%20certainty%20to%20uncertainty%20by%20securing%20your%20family's%20future%20with%20a%20Life%20Insurance%20Cover" TargetMode="External"/><Relationship Id="rId94" Type="http://schemas.openxmlformats.org/officeDocument/2006/relationships/hyperlink" Target="https://www.dhanbank.com/" TargetMode="External"/><Relationship Id="rId97" Type="http://schemas.openxmlformats.org/officeDocument/2006/relationships/hyperlink" Target="https://www.esaf.bank.in/" TargetMode="External"/><Relationship Id="rId96" Type="http://schemas.openxmlformats.org/officeDocument/2006/relationships/hyperlink" Target="https://www.jana.bank.in/insurance/life-insurance/" TargetMode="External"/><Relationship Id="rId99" Type="http://schemas.openxmlformats.org/officeDocument/2006/relationships/hyperlink" Target="https://www.au.bank.in/personal-banking/life-insurance" TargetMode="External"/><Relationship Id="rId98" Type="http://schemas.openxmlformats.org/officeDocument/2006/relationships/hyperlink" Target="https://shivalik.bank.in/service/insurance/life-insurance" TargetMode="External"/><Relationship Id="rId91" Type="http://schemas.openxmlformats.org/officeDocument/2006/relationships/hyperlink" Target="https://kwasaninsurance.com/" TargetMode="External"/><Relationship Id="rId90" Type="http://schemas.openxmlformats.org/officeDocument/2006/relationships/hyperlink" Target="https://anticinsurance.in/" TargetMode="External"/><Relationship Id="rId93" Type="http://schemas.openxmlformats.org/officeDocument/2006/relationships/hyperlink" Target="https://thukralcapital.com/insurance/" TargetMode="External"/><Relationship Id="rId92" Type="http://schemas.openxmlformats.org/officeDocument/2006/relationships/hyperlink" Target="https://www.ltfinance.com/life-insurance" TargetMode="External"/><Relationship Id="rId118" Type="http://schemas.openxmlformats.org/officeDocument/2006/relationships/hyperlink" Target="https://www.edmeinsurance.com" TargetMode="External"/><Relationship Id="rId239" Type="http://schemas.openxmlformats.org/officeDocument/2006/relationships/hyperlink" Target="https://www.pcsinsurance.co.in/" TargetMode="External"/><Relationship Id="rId117" Type="http://schemas.openxmlformats.org/officeDocument/2006/relationships/hyperlink" Target="https://choiceindia.com" TargetMode="External"/><Relationship Id="rId238" Type="http://schemas.openxmlformats.org/officeDocument/2006/relationships/hyperlink" Target="https://www.signaturebrokers.in/" TargetMode="External"/><Relationship Id="rId359" Type="http://schemas.openxmlformats.org/officeDocument/2006/relationships/hyperlink" Target="https://www.sammaancapital.com/" TargetMode="External"/><Relationship Id="rId116" Type="http://schemas.openxmlformats.org/officeDocument/2006/relationships/hyperlink" Target="https://www.bajajfinservdirect.in" TargetMode="External"/><Relationship Id="rId237" Type="http://schemas.openxmlformats.org/officeDocument/2006/relationships/hyperlink" Target="https://www.capalin.com/" TargetMode="External"/><Relationship Id="rId358" Type="http://schemas.openxmlformats.org/officeDocument/2006/relationships/hyperlink" Target="https://in.dohabank.com/nri-banking/wealth-management-solutions/life-insurance/" TargetMode="External"/><Relationship Id="rId115" Type="http://schemas.openxmlformats.org/officeDocument/2006/relationships/hyperlink" Target="https://bimamandi.in" TargetMode="External"/><Relationship Id="rId236" Type="http://schemas.openxmlformats.org/officeDocument/2006/relationships/hyperlink" Target="https://www.ibexer.com/" TargetMode="External"/><Relationship Id="rId357" Type="http://schemas.openxmlformats.org/officeDocument/2006/relationships/hyperlink" Target="https://www.jubiliant.co.in/" TargetMode="External"/><Relationship Id="rId119" Type="http://schemas.openxmlformats.org/officeDocument/2006/relationships/hyperlink" Target="https://www.plumhq.com" TargetMode="External"/><Relationship Id="rId110" Type="http://schemas.openxmlformats.org/officeDocument/2006/relationships/hyperlink" Target="https://www.neoinsurance.co.in" TargetMode="External"/><Relationship Id="rId231" Type="http://schemas.openxmlformats.org/officeDocument/2006/relationships/hyperlink" Target="https://www.namfin.in/about/who-we-are" TargetMode="External"/><Relationship Id="rId352" Type="http://schemas.openxmlformats.org/officeDocument/2006/relationships/hyperlink" Target="https://www.religareonline.com/products/life-insurance/" TargetMode="External"/><Relationship Id="rId230" Type="http://schemas.openxmlformats.org/officeDocument/2006/relationships/hyperlink" Target="https://amco.bank.in/" TargetMode="External"/><Relationship Id="rId351" Type="http://schemas.openxmlformats.org/officeDocument/2006/relationships/hyperlink" Target="https://nbinsurance.in/" TargetMode="External"/><Relationship Id="rId350" Type="http://schemas.openxmlformats.org/officeDocument/2006/relationships/hyperlink" Target="https://www.novoinsure.com/" TargetMode="External"/><Relationship Id="rId114" Type="http://schemas.openxmlformats.org/officeDocument/2006/relationships/hyperlink" Target="https://www.pibinsurance.in" TargetMode="External"/><Relationship Id="rId235" Type="http://schemas.openxmlformats.org/officeDocument/2006/relationships/hyperlink" Target="https://beyondtoday.in/" TargetMode="External"/><Relationship Id="rId356" Type="http://schemas.openxmlformats.org/officeDocument/2006/relationships/hyperlink" Target="https://capitalsquare.in/service/insurance-broking/" TargetMode="External"/><Relationship Id="rId113" Type="http://schemas.openxmlformats.org/officeDocument/2006/relationships/hyperlink" Target="https://superpolicy.in" TargetMode="External"/><Relationship Id="rId234" Type="http://schemas.openxmlformats.org/officeDocument/2006/relationships/hyperlink" Target="https://coverton.in/" TargetMode="External"/><Relationship Id="rId355" Type="http://schemas.openxmlformats.org/officeDocument/2006/relationships/hyperlink" Target="https://mybimasansar.com/" TargetMode="External"/><Relationship Id="rId112" Type="http://schemas.openxmlformats.org/officeDocument/2006/relationships/hyperlink" Target="https://www.arohan.in" TargetMode="External"/><Relationship Id="rId233" Type="http://schemas.openxmlformats.org/officeDocument/2006/relationships/hyperlink" Target="https://www.supremacyinsurance.com/" TargetMode="External"/><Relationship Id="rId354" Type="http://schemas.openxmlformats.org/officeDocument/2006/relationships/hyperlink" Target="https://policynation.com/" TargetMode="External"/><Relationship Id="rId111" Type="http://schemas.openxmlformats.org/officeDocument/2006/relationships/hyperlink" Target="https://www.iiflhomeloans.com" TargetMode="External"/><Relationship Id="rId232" Type="http://schemas.openxmlformats.org/officeDocument/2006/relationships/hyperlink" Target="https://hibl.in/" TargetMode="External"/><Relationship Id="rId353" Type="http://schemas.openxmlformats.org/officeDocument/2006/relationships/hyperlink" Target="https://www.auminsurancebrokers.com/" TargetMode="External"/><Relationship Id="rId305" Type="http://schemas.openxmlformats.org/officeDocument/2006/relationships/hyperlink" Target="https://it.acuvisor.com/" TargetMode="External"/><Relationship Id="rId304" Type="http://schemas.openxmlformats.org/officeDocument/2006/relationships/hyperlink" Target="https://muthootinsurancebrokers.com/" TargetMode="External"/><Relationship Id="rId303" Type="http://schemas.openxmlformats.org/officeDocument/2006/relationships/hyperlink" Target="https://www.globesecure.co.in/" TargetMode="External"/><Relationship Id="rId302" Type="http://schemas.openxmlformats.org/officeDocument/2006/relationships/hyperlink" Target="https://lmvinsurancebroking.com/" TargetMode="External"/><Relationship Id="rId309" Type="http://schemas.openxmlformats.org/officeDocument/2006/relationships/hyperlink" Target="https://www.wealthguardianinsurance.com/about" TargetMode="External"/><Relationship Id="rId308" Type="http://schemas.openxmlformats.org/officeDocument/2006/relationships/hyperlink" Target="https://xperitusinsure.com/" TargetMode="External"/><Relationship Id="rId307" Type="http://schemas.openxmlformats.org/officeDocument/2006/relationships/hyperlink" Target="https://trailblazerinsurance.in/" TargetMode="External"/><Relationship Id="rId306" Type="http://schemas.openxmlformats.org/officeDocument/2006/relationships/hyperlink" Target="https://it.acuvisor.com/life-insurance?source=life-insurance-coverages%20-%20NAME%20REFLECTING" TargetMode="External"/><Relationship Id="rId301" Type="http://schemas.openxmlformats.org/officeDocument/2006/relationships/hyperlink" Target="https://www.colourfundsinsure.com/products.html" TargetMode="External"/><Relationship Id="rId300" Type="http://schemas.openxmlformats.org/officeDocument/2006/relationships/hyperlink" Target="https://safetree.in/about-us/" TargetMode="External"/><Relationship Id="rId206" Type="http://schemas.openxmlformats.org/officeDocument/2006/relationships/hyperlink" Target="https://manashreeins.com/" TargetMode="External"/><Relationship Id="rId327" Type="http://schemas.openxmlformats.org/officeDocument/2006/relationships/hyperlink" Target="https://bharatre.in/" TargetMode="External"/><Relationship Id="rId205" Type="http://schemas.openxmlformats.org/officeDocument/2006/relationships/hyperlink" Target="https://www.vulcaninsurance.co.in/" TargetMode="External"/><Relationship Id="rId326" Type="http://schemas.openxmlformats.org/officeDocument/2006/relationships/hyperlink" Target="https://policy99.com/" TargetMode="External"/><Relationship Id="rId204" Type="http://schemas.openxmlformats.org/officeDocument/2006/relationships/hyperlink" Target="https://clientassociates.com/" TargetMode="External"/><Relationship Id="rId325" Type="http://schemas.openxmlformats.org/officeDocument/2006/relationships/hyperlink" Target="https://www.relitrade.in/" TargetMode="External"/><Relationship Id="rId203" Type="http://schemas.openxmlformats.org/officeDocument/2006/relationships/hyperlink" Target="https://www.reliancesmartmoney.com/insurance/life-insurance" TargetMode="External"/><Relationship Id="rId324" Type="http://schemas.openxmlformats.org/officeDocument/2006/relationships/hyperlink" Target="https://catalystbrokers.com/" TargetMode="External"/><Relationship Id="rId209" Type="http://schemas.openxmlformats.org/officeDocument/2006/relationships/hyperlink" Target="https://www.mpinsurance.in/" TargetMode="External"/><Relationship Id="rId208" Type="http://schemas.openxmlformats.org/officeDocument/2006/relationships/hyperlink" Target="https://www.arcssindia.com/" TargetMode="External"/><Relationship Id="rId329" Type="http://schemas.openxmlformats.org/officeDocument/2006/relationships/hyperlink" Target="https://global.lockton.com/in/en" TargetMode="External"/><Relationship Id="rId207" Type="http://schemas.openxmlformats.org/officeDocument/2006/relationships/hyperlink" Target="https://www.oslgroup.co.in/" TargetMode="External"/><Relationship Id="rId328" Type="http://schemas.openxmlformats.org/officeDocument/2006/relationships/hyperlink" Target="https://magnuminsurance.in/" TargetMode="External"/><Relationship Id="rId202" Type="http://schemas.openxmlformats.org/officeDocument/2006/relationships/hyperlink" Target="https://www.invest4edu.com/" TargetMode="External"/><Relationship Id="rId323" Type="http://schemas.openxmlformats.org/officeDocument/2006/relationships/hyperlink" Target="https://www.policybazaar.com/?pb_source=google_brand&amp;pb_medium=ppc&amp;pb_term=%2B%E0%A4%AA%E0%A5%89%E0%A4%B2%E0%A4%BF%E0%A4%B8%E0%A5%80%20%2B%E0%A4%AC%E0%A4%BE%E0%A4%9C%E0%A4%BE%E0%A4%B0%20%2B%E0%A4%A1%E0%A5%89%E0%A4%9F%20%2B%E0%A4%95%E0%A5%89%E0%A4%AE&amp;pb_campaign=PolicyBazaar00PolicyBazaar_Hindi&amp;gad_source=1&amp;gad_campaignid=91945742&amp;gbraid=0AAAAADwVZjI19m2L0gDVcuhyMBx1iEkhO&amp;gclid=EAIaIQobChMI8MvWhIeYkQMVhH0PAh0HPg5REAAYASAAEgLaTPD_BwE" TargetMode="External"/><Relationship Id="rId201" Type="http://schemas.openxmlformats.org/officeDocument/2006/relationships/hyperlink" Target="https://www.cholasecurities.com/" TargetMode="External"/><Relationship Id="rId322" Type="http://schemas.openxmlformats.org/officeDocument/2006/relationships/hyperlink" Target="https://www.policyboss.com/" TargetMode="External"/><Relationship Id="rId200" Type="http://schemas.openxmlformats.org/officeDocument/2006/relationships/hyperlink" Target="https://shrinithiinsure.com/" TargetMode="External"/><Relationship Id="rId321" Type="http://schemas.openxmlformats.org/officeDocument/2006/relationships/hyperlink" Target="https://www.squareinsurance.in/" TargetMode="External"/><Relationship Id="rId320" Type="http://schemas.openxmlformats.org/officeDocument/2006/relationships/hyperlink" Target="https://westford.co.in/" TargetMode="External"/><Relationship Id="rId316" Type="http://schemas.openxmlformats.org/officeDocument/2006/relationships/hyperlink" Target="https://www.ratnaafinsure.com/" TargetMode="External"/><Relationship Id="rId315" Type="http://schemas.openxmlformats.org/officeDocument/2006/relationships/hyperlink" Target="https://jbbodagroup.com/" TargetMode="External"/><Relationship Id="rId314" Type="http://schemas.openxmlformats.org/officeDocument/2006/relationships/hyperlink" Target="https://uibindia.com/" TargetMode="External"/><Relationship Id="rId313" Type="http://schemas.openxmlformats.org/officeDocument/2006/relationships/hyperlink" Target="https://orangecapital.co.in/" TargetMode="External"/><Relationship Id="rId319" Type="http://schemas.openxmlformats.org/officeDocument/2006/relationships/hyperlink" Target="https://futurisk.in/" TargetMode="External"/><Relationship Id="rId318" Type="http://schemas.openxmlformats.org/officeDocument/2006/relationships/hyperlink" Target="http://intactinsurance.co.in/" TargetMode="External"/><Relationship Id="rId317" Type="http://schemas.openxmlformats.org/officeDocument/2006/relationships/hyperlink" Target="https://www.manasinsurancebrokers.com/" TargetMode="External"/><Relationship Id="rId312" Type="http://schemas.openxmlformats.org/officeDocument/2006/relationships/hyperlink" Target="https://epochbrokers.com/index.php/admin/login" TargetMode="External"/><Relationship Id="rId311" Type="http://schemas.openxmlformats.org/officeDocument/2006/relationships/hyperlink" Target="https://www.howdengroup.com/in-en" TargetMode="External"/><Relationship Id="rId310" Type="http://schemas.openxmlformats.org/officeDocument/2006/relationships/hyperlink" Target="https://www.integratedinsurance.in/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dhanbank.com" TargetMode="External"/><Relationship Id="rId194" Type="http://schemas.openxmlformats.org/officeDocument/2006/relationships/hyperlink" Target="http://jana.bank.in" TargetMode="External"/><Relationship Id="rId193" Type="http://schemas.openxmlformats.org/officeDocument/2006/relationships/hyperlink" Target="http://jana.bank.in" TargetMode="External"/><Relationship Id="rId192" Type="http://schemas.openxmlformats.org/officeDocument/2006/relationships/hyperlink" Target="http://svc.bank.in" TargetMode="External"/><Relationship Id="rId191" Type="http://schemas.openxmlformats.org/officeDocument/2006/relationships/hyperlink" Target="http://svc.bank.in" TargetMode="External"/><Relationship Id="rId187" Type="http://schemas.openxmlformats.org/officeDocument/2006/relationships/hyperlink" Target="http://bajajfinserv.in" TargetMode="External"/><Relationship Id="rId186" Type="http://schemas.openxmlformats.org/officeDocument/2006/relationships/hyperlink" Target="http://thukralcapital.com" TargetMode="External"/><Relationship Id="rId185" Type="http://schemas.openxmlformats.org/officeDocument/2006/relationships/hyperlink" Target="http://thukralcapital.com" TargetMode="External"/><Relationship Id="rId184" Type="http://schemas.openxmlformats.org/officeDocument/2006/relationships/hyperlink" Target="http://ltfinance.com" TargetMode="External"/><Relationship Id="rId189" Type="http://schemas.openxmlformats.org/officeDocument/2006/relationships/hyperlink" Target="http://dhanbank.com" TargetMode="External"/><Relationship Id="rId188" Type="http://schemas.openxmlformats.org/officeDocument/2006/relationships/hyperlink" Target="http://bajajfinserv.in" TargetMode="External"/><Relationship Id="rId183" Type="http://schemas.openxmlformats.org/officeDocument/2006/relationships/hyperlink" Target="http://ltfinance.com" TargetMode="External"/><Relationship Id="rId182" Type="http://schemas.openxmlformats.org/officeDocument/2006/relationships/hyperlink" Target="http://kwasaninsurance.com" TargetMode="External"/><Relationship Id="rId181" Type="http://schemas.openxmlformats.org/officeDocument/2006/relationships/hyperlink" Target="http://kwasaninsurance.com" TargetMode="External"/><Relationship Id="rId180" Type="http://schemas.openxmlformats.org/officeDocument/2006/relationships/hyperlink" Target="http://anticinsurance.in" TargetMode="External"/><Relationship Id="rId176" Type="http://schemas.openxmlformats.org/officeDocument/2006/relationships/hyperlink" Target="http://apurban.com" TargetMode="External"/><Relationship Id="rId297" Type="http://schemas.openxmlformats.org/officeDocument/2006/relationships/hyperlink" Target="http://inditrade.com" TargetMode="External"/><Relationship Id="rId175" Type="http://schemas.openxmlformats.org/officeDocument/2006/relationships/hyperlink" Target="http://apurban.com" TargetMode="External"/><Relationship Id="rId296" Type="http://schemas.openxmlformats.org/officeDocument/2006/relationships/hyperlink" Target="http://ubgb.in" TargetMode="External"/><Relationship Id="rId174" Type="http://schemas.openxmlformats.org/officeDocument/2006/relationships/hyperlink" Target="http://prudentcorporate.com" TargetMode="External"/><Relationship Id="rId295" Type="http://schemas.openxmlformats.org/officeDocument/2006/relationships/hyperlink" Target="http://ubgb.in" TargetMode="External"/><Relationship Id="rId173" Type="http://schemas.openxmlformats.org/officeDocument/2006/relationships/hyperlink" Target="http://prudentcorporate.com" TargetMode="External"/><Relationship Id="rId294" Type="http://schemas.openxmlformats.org/officeDocument/2006/relationships/hyperlink" Target="http://nidohomefin.com" TargetMode="External"/><Relationship Id="rId179" Type="http://schemas.openxmlformats.org/officeDocument/2006/relationships/hyperlink" Target="http://anticinsurance.in" TargetMode="External"/><Relationship Id="rId178" Type="http://schemas.openxmlformats.org/officeDocument/2006/relationships/hyperlink" Target="http://securenow.in" TargetMode="External"/><Relationship Id="rId299" Type="http://schemas.openxmlformats.org/officeDocument/2006/relationships/hyperlink" Target="http://ntrust.co.in" TargetMode="External"/><Relationship Id="rId177" Type="http://schemas.openxmlformats.org/officeDocument/2006/relationships/hyperlink" Target="http://securenow.in" TargetMode="External"/><Relationship Id="rId298" Type="http://schemas.openxmlformats.org/officeDocument/2006/relationships/hyperlink" Target="http://inditrade.com" TargetMode="External"/><Relationship Id="rId198" Type="http://schemas.openxmlformats.org/officeDocument/2006/relationships/hyperlink" Target="http://shivalik.bank.in" TargetMode="External"/><Relationship Id="rId197" Type="http://schemas.openxmlformats.org/officeDocument/2006/relationships/hyperlink" Target="http://shivalik.bank.in" TargetMode="External"/><Relationship Id="rId196" Type="http://schemas.openxmlformats.org/officeDocument/2006/relationships/hyperlink" Target="http://esaf.bank.in" TargetMode="External"/><Relationship Id="rId195" Type="http://schemas.openxmlformats.org/officeDocument/2006/relationships/hyperlink" Target="http://esaf.bank.in" TargetMode="External"/><Relationship Id="rId199" Type="http://schemas.openxmlformats.org/officeDocument/2006/relationships/hyperlink" Target="http://au.bank.in" TargetMode="External"/><Relationship Id="rId150" Type="http://schemas.openxmlformats.org/officeDocument/2006/relationships/hyperlink" Target="http://dmtkendra.com" TargetMode="External"/><Relationship Id="rId271" Type="http://schemas.openxmlformats.org/officeDocument/2006/relationships/hyperlink" Target="http://nabfins.org" TargetMode="External"/><Relationship Id="rId392" Type="http://schemas.openxmlformats.org/officeDocument/2006/relationships/hyperlink" Target="http://incred.com" TargetMode="External"/><Relationship Id="rId270" Type="http://schemas.openxmlformats.org/officeDocument/2006/relationships/hyperlink" Target="http://aibl.in" TargetMode="External"/><Relationship Id="rId391" Type="http://schemas.openxmlformats.org/officeDocument/2006/relationships/hyperlink" Target="http://incred.com" TargetMode="External"/><Relationship Id="rId390" Type="http://schemas.openxmlformats.org/officeDocument/2006/relationships/hyperlink" Target="http://optima.co.in" TargetMode="External"/><Relationship Id="rId1" Type="http://schemas.openxmlformats.org/officeDocument/2006/relationships/hyperlink" Target="http://bandhan.bank.in" TargetMode="External"/><Relationship Id="rId2" Type="http://schemas.openxmlformats.org/officeDocument/2006/relationships/hyperlink" Target="http://bandhan.bank.in" TargetMode="External"/><Relationship Id="rId3" Type="http://schemas.openxmlformats.org/officeDocument/2006/relationships/hyperlink" Target="http://kvb.bank.in" TargetMode="External"/><Relationship Id="rId149" Type="http://schemas.openxmlformats.org/officeDocument/2006/relationships/hyperlink" Target="http://dmtkendra.com" TargetMode="External"/><Relationship Id="rId4" Type="http://schemas.openxmlformats.org/officeDocument/2006/relationships/hyperlink" Target="http://kvb.bank.in" TargetMode="External"/><Relationship Id="rId148" Type="http://schemas.openxmlformats.org/officeDocument/2006/relationships/hyperlink" Target="http://akshayawealth.com" TargetMode="External"/><Relationship Id="rId269" Type="http://schemas.openxmlformats.org/officeDocument/2006/relationships/hyperlink" Target="http://aibl.in" TargetMode="External"/><Relationship Id="rId9" Type="http://schemas.openxmlformats.org/officeDocument/2006/relationships/hyperlink" Target="http://equitas.bank.in" TargetMode="External"/><Relationship Id="rId143" Type="http://schemas.openxmlformats.org/officeDocument/2006/relationships/hyperlink" Target="http://karnatakabank.bank.in" TargetMode="External"/><Relationship Id="rId264" Type="http://schemas.openxmlformats.org/officeDocument/2006/relationships/hyperlink" Target="http://telosrisk.com" TargetMode="External"/><Relationship Id="rId385" Type="http://schemas.openxmlformats.org/officeDocument/2006/relationships/hyperlink" Target="http://vachaninsurance.com" TargetMode="External"/><Relationship Id="rId142" Type="http://schemas.openxmlformats.org/officeDocument/2006/relationships/hyperlink" Target="http://easyhomefinance.in" TargetMode="External"/><Relationship Id="rId263" Type="http://schemas.openxmlformats.org/officeDocument/2006/relationships/hyperlink" Target="http://telosrisk.com" TargetMode="External"/><Relationship Id="rId384" Type="http://schemas.openxmlformats.org/officeDocument/2006/relationships/hyperlink" Target="http://sorigin.co" TargetMode="External"/><Relationship Id="rId141" Type="http://schemas.openxmlformats.org/officeDocument/2006/relationships/hyperlink" Target="http://easyhomefinance.in" TargetMode="External"/><Relationship Id="rId262" Type="http://schemas.openxmlformats.org/officeDocument/2006/relationships/hyperlink" Target="http://insurancemanager.com" TargetMode="External"/><Relationship Id="rId383" Type="http://schemas.openxmlformats.org/officeDocument/2006/relationships/hyperlink" Target="http://sorigin.co" TargetMode="External"/><Relationship Id="rId140" Type="http://schemas.openxmlformats.org/officeDocument/2006/relationships/hyperlink" Target="http://indusind.bank.in" TargetMode="External"/><Relationship Id="rId261" Type="http://schemas.openxmlformats.org/officeDocument/2006/relationships/hyperlink" Target="http://insurancemanager.com" TargetMode="External"/><Relationship Id="rId382" Type="http://schemas.openxmlformats.org/officeDocument/2006/relationships/hyperlink" Target="http://universebima.com" TargetMode="External"/><Relationship Id="rId5" Type="http://schemas.openxmlformats.org/officeDocument/2006/relationships/hyperlink" Target="http://cityunionbank.bank.in" TargetMode="External"/><Relationship Id="rId147" Type="http://schemas.openxmlformats.org/officeDocument/2006/relationships/hyperlink" Target="http://akshayawealth.com" TargetMode="External"/><Relationship Id="rId268" Type="http://schemas.openxmlformats.org/officeDocument/2006/relationships/hyperlink" Target="http://premiainsurance.in" TargetMode="External"/><Relationship Id="rId389" Type="http://schemas.openxmlformats.org/officeDocument/2006/relationships/hyperlink" Target="http://optima.co.in" TargetMode="External"/><Relationship Id="rId6" Type="http://schemas.openxmlformats.org/officeDocument/2006/relationships/hyperlink" Target="http://cityunionbank.bank.in" TargetMode="External"/><Relationship Id="rId146" Type="http://schemas.openxmlformats.org/officeDocument/2006/relationships/hyperlink" Target="http://gosreefinance.com" TargetMode="External"/><Relationship Id="rId267" Type="http://schemas.openxmlformats.org/officeDocument/2006/relationships/hyperlink" Target="http://premiainsurance.in" TargetMode="External"/><Relationship Id="rId388" Type="http://schemas.openxmlformats.org/officeDocument/2006/relationships/hyperlink" Target="http://royalinsurance.in" TargetMode="External"/><Relationship Id="rId7" Type="http://schemas.openxmlformats.org/officeDocument/2006/relationships/hyperlink" Target="http://tmb.bank.in" TargetMode="External"/><Relationship Id="rId145" Type="http://schemas.openxmlformats.org/officeDocument/2006/relationships/hyperlink" Target="http://gosreefinance.com" TargetMode="External"/><Relationship Id="rId266" Type="http://schemas.openxmlformats.org/officeDocument/2006/relationships/hyperlink" Target="http://igniteinsurancebroking.com" TargetMode="External"/><Relationship Id="rId387" Type="http://schemas.openxmlformats.org/officeDocument/2006/relationships/hyperlink" Target="http://royalinsurance.in" TargetMode="External"/><Relationship Id="rId8" Type="http://schemas.openxmlformats.org/officeDocument/2006/relationships/hyperlink" Target="http://tmb.bank.in" TargetMode="External"/><Relationship Id="rId144" Type="http://schemas.openxmlformats.org/officeDocument/2006/relationships/hyperlink" Target="http://karnatakabank.bank.in" TargetMode="External"/><Relationship Id="rId265" Type="http://schemas.openxmlformats.org/officeDocument/2006/relationships/hyperlink" Target="http://igniteinsurancebroking.com" TargetMode="External"/><Relationship Id="rId386" Type="http://schemas.openxmlformats.org/officeDocument/2006/relationships/hyperlink" Target="http://vachaninsurance.com" TargetMode="External"/><Relationship Id="rId260" Type="http://schemas.openxmlformats.org/officeDocument/2006/relationships/hyperlink" Target="http://nhanceindia.in" TargetMode="External"/><Relationship Id="rId381" Type="http://schemas.openxmlformats.org/officeDocument/2006/relationships/hyperlink" Target="http://universebima.com" TargetMode="External"/><Relationship Id="rId380" Type="http://schemas.openxmlformats.org/officeDocument/2006/relationships/hyperlink" Target="http://skyfireinsurance.in" TargetMode="External"/><Relationship Id="rId139" Type="http://schemas.openxmlformats.org/officeDocument/2006/relationships/hyperlink" Target="http://indusind.bank.in" TargetMode="External"/><Relationship Id="rId138" Type="http://schemas.openxmlformats.org/officeDocument/2006/relationships/hyperlink" Target="http://oneassure.in" TargetMode="External"/><Relationship Id="rId259" Type="http://schemas.openxmlformats.org/officeDocument/2006/relationships/hyperlink" Target="http://nhanceindia.in" TargetMode="External"/><Relationship Id="rId137" Type="http://schemas.openxmlformats.org/officeDocument/2006/relationships/hyperlink" Target="http://oneassure.in" TargetMode="External"/><Relationship Id="rId258" Type="http://schemas.openxmlformats.org/officeDocument/2006/relationships/hyperlink" Target="http://rakshamitra.com" TargetMode="External"/><Relationship Id="rId379" Type="http://schemas.openxmlformats.org/officeDocument/2006/relationships/hyperlink" Target="http://skyfireinsurance.in" TargetMode="External"/><Relationship Id="rId132" Type="http://schemas.openxmlformats.org/officeDocument/2006/relationships/hyperlink" Target="http://joinditto.in" TargetMode="External"/><Relationship Id="rId253" Type="http://schemas.openxmlformats.org/officeDocument/2006/relationships/hyperlink" Target="http://capriglobal.in" TargetMode="External"/><Relationship Id="rId374" Type="http://schemas.openxmlformats.org/officeDocument/2006/relationships/hyperlink" Target="http://policybasket.in" TargetMode="External"/><Relationship Id="rId495" Type="http://schemas.openxmlformats.org/officeDocument/2006/relationships/hyperlink" Target="http://indiashelter.in" TargetMode="External"/><Relationship Id="rId131" Type="http://schemas.openxmlformats.org/officeDocument/2006/relationships/hyperlink" Target="http://joinditto.in" TargetMode="External"/><Relationship Id="rId252" Type="http://schemas.openxmlformats.org/officeDocument/2006/relationships/hyperlink" Target="http://aapkapolicywala.com" TargetMode="External"/><Relationship Id="rId373" Type="http://schemas.openxmlformats.org/officeDocument/2006/relationships/hyperlink" Target="http://policybasket.in" TargetMode="External"/><Relationship Id="rId494" Type="http://schemas.openxmlformats.org/officeDocument/2006/relationships/hyperlink" Target="http://jmflhomeloans.com" TargetMode="External"/><Relationship Id="rId130" Type="http://schemas.openxmlformats.org/officeDocument/2006/relationships/hyperlink" Target="http://finnovate.in" TargetMode="External"/><Relationship Id="rId251" Type="http://schemas.openxmlformats.org/officeDocument/2006/relationships/hyperlink" Target="http://aapkapolicywala.com" TargetMode="External"/><Relationship Id="rId372" Type="http://schemas.openxmlformats.org/officeDocument/2006/relationships/hyperlink" Target="http://svatantramicrofin.com" TargetMode="External"/><Relationship Id="rId493" Type="http://schemas.openxmlformats.org/officeDocument/2006/relationships/hyperlink" Target="http://jmflhomeloans.com" TargetMode="External"/><Relationship Id="rId250" Type="http://schemas.openxmlformats.org/officeDocument/2006/relationships/hyperlink" Target="http://kmdastur.com" TargetMode="External"/><Relationship Id="rId371" Type="http://schemas.openxmlformats.org/officeDocument/2006/relationships/hyperlink" Target="http://svatantramicrofin.com" TargetMode="External"/><Relationship Id="rId492" Type="http://schemas.openxmlformats.org/officeDocument/2006/relationships/hyperlink" Target="http://haritainsurancebroking.com" TargetMode="External"/><Relationship Id="rId136" Type="http://schemas.openxmlformats.org/officeDocument/2006/relationships/hyperlink" Target="http://pazcare.com" TargetMode="External"/><Relationship Id="rId257" Type="http://schemas.openxmlformats.org/officeDocument/2006/relationships/hyperlink" Target="http://rakshamitra.com" TargetMode="External"/><Relationship Id="rId378" Type="http://schemas.openxmlformats.org/officeDocument/2006/relationships/hyperlink" Target="http://swap.apnainsurance.in" TargetMode="External"/><Relationship Id="rId499" Type="http://schemas.openxmlformats.org/officeDocument/2006/relationships/hyperlink" Target="http://cars24.com" TargetMode="External"/><Relationship Id="rId135" Type="http://schemas.openxmlformats.org/officeDocument/2006/relationships/hyperlink" Target="http://pazcare.com" TargetMode="External"/><Relationship Id="rId256" Type="http://schemas.openxmlformats.org/officeDocument/2006/relationships/hyperlink" Target="http://tatamotorsinsurancebrokers.com" TargetMode="External"/><Relationship Id="rId377" Type="http://schemas.openxmlformats.org/officeDocument/2006/relationships/hyperlink" Target="http://swap.apnainsurance.in" TargetMode="External"/><Relationship Id="rId498" Type="http://schemas.openxmlformats.org/officeDocument/2006/relationships/hyperlink" Target="http://wbgb.bank.in" TargetMode="External"/><Relationship Id="rId134" Type="http://schemas.openxmlformats.org/officeDocument/2006/relationships/hyperlink" Target="http://palminsurance.in" TargetMode="External"/><Relationship Id="rId255" Type="http://schemas.openxmlformats.org/officeDocument/2006/relationships/hyperlink" Target="http://tatamotorsinsurancebrokers.com" TargetMode="External"/><Relationship Id="rId376" Type="http://schemas.openxmlformats.org/officeDocument/2006/relationships/hyperlink" Target="http://wmggroup.in" TargetMode="External"/><Relationship Id="rId497" Type="http://schemas.openxmlformats.org/officeDocument/2006/relationships/hyperlink" Target="http://wbgb.bank.in" TargetMode="External"/><Relationship Id="rId133" Type="http://schemas.openxmlformats.org/officeDocument/2006/relationships/hyperlink" Target="http://palminsurance.in" TargetMode="External"/><Relationship Id="rId254" Type="http://schemas.openxmlformats.org/officeDocument/2006/relationships/hyperlink" Target="http://capriglobal.in" TargetMode="External"/><Relationship Id="rId375" Type="http://schemas.openxmlformats.org/officeDocument/2006/relationships/hyperlink" Target="http://wmggroup.in" TargetMode="External"/><Relationship Id="rId496" Type="http://schemas.openxmlformats.org/officeDocument/2006/relationships/hyperlink" Target="http://indiashelter.in" TargetMode="External"/><Relationship Id="rId172" Type="http://schemas.openxmlformats.org/officeDocument/2006/relationships/hyperlink" Target="http://tatacapital.com" TargetMode="External"/><Relationship Id="rId293" Type="http://schemas.openxmlformats.org/officeDocument/2006/relationships/hyperlink" Target="http://nidohomefin.com" TargetMode="External"/><Relationship Id="rId171" Type="http://schemas.openxmlformats.org/officeDocument/2006/relationships/hyperlink" Target="http://tatacapital.com" TargetMode="External"/><Relationship Id="rId292" Type="http://schemas.openxmlformats.org/officeDocument/2006/relationships/hyperlink" Target="http://eclfinance.edelweissfin.com" TargetMode="External"/><Relationship Id="rId170" Type="http://schemas.openxmlformats.org/officeDocument/2006/relationships/hyperlink" Target="http://unilight.in" TargetMode="External"/><Relationship Id="rId291" Type="http://schemas.openxmlformats.org/officeDocument/2006/relationships/hyperlink" Target="http://eclfinance.edelweissfin.com" TargetMode="External"/><Relationship Id="rId290" Type="http://schemas.openxmlformats.org/officeDocument/2006/relationships/hyperlink" Target="http://upstox.com" TargetMode="External"/><Relationship Id="rId165" Type="http://schemas.openxmlformats.org/officeDocument/2006/relationships/hyperlink" Target="http://rioninsura.com" TargetMode="External"/><Relationship Id="rId286" Type="http://schemas.openxmlformats.org/officeDocument/2006/relationships/hyperlink" Target="http://bimaguide.com" TargetMode="External"/><Relationship Id="rId164" Type="http://schemas.openxmlformats.org/officeDocument/2006/relationships/hyperlink" Target="http://bajajhousingfinance.in" TargetMode="External"/><Relationship Id="rId285" Type="http://schemas.openxmlformats.org/officeDocument/2006/relationships/hyperlink" Target="http://bimaguide.com" TargetMode="External"/><Relationship Id="rId163" Type="http://schemas.openxmlformats.org/officeDocument/2006/relationships/hyperlink" Target="http://bajajhousingfinance.in" TargetMode="External"/><Relationship Id="rId284" Type="http://schemas.openxmlformats.org/officeDocument/2006/relationships/hyperlink" Target="http://posp.policyplanner.com" TargetMode="External"/><Relationship Id="rId162" Type="http://schemas.openxmlformats.org/officeDocument/2006/relationships/hyperlink" Target="http://coversure.in" TargetMode="External"/><Relationship Id="rId283" Type="http://schemas.openxmlformats.org/officeDocument/2006/relationships/hyperlink" Target="http://posp.policyplanner.com" TargetMode="External"/><Relationship Id="rId169" Type="http://schemas.openxmlformats.org/officeDocument/2006/relationships/hyperlink" Target="http://unilight.in" TargetMode="External"/><Relationship Id="rId168" Type="http://schemas.openxmlformats.org/officeDocument/2006/relationships/hyperlink" Target="http://hudsoninsgroup.com" TargetMode="External"/><Relationship Id="rId289" Type="http://schemas.openxmlformats.org/officeDocument/2006/relationships/hyperlink" Target="http://upstox.com" TargetMode="External"/><Relationship Id="rId167" Type="http://schemas.openxmlformats.org/officeDocument/2006/relationships/hyperlink" Target="http://hudsoninsgroup.com" TargetMode="External"/><Relationship Id="rId288" Type="http://schemas.openxmlformats.org/officeDocument/2006/relationships/hyperlink" Target="http://sssriskmanagement.com" TargetMode="External"/><Relationship Id="rId166" Type="http://schemas.openxmlformats.org/officeDocument/2006/relationships/hyperlink" Target="http://rioninsura.com" TargetMode="External"/><Relationship Id="rId287" Type="http://schemas.openxmlformats.org/officeDocument/2006/relationships/hyperlink" Target="http://sssriskmanagement.com" TargetMode="External"/><Relationship Id="rId161" Type="http://schemas.openxmlformats.org/officeDocument/2006/relationships/hyperlink" Target="http://coversure.in" TargetMode="External"/><Relationship Id="rId282" Type="http://schemas.openxmlformats.org/officeDocument/2006/relationships/hyperlink" Target="http://tamarindinsurance.com" TargetMode="External"/><Relationship Id="rId160" Type="http://schemas.openxmlformats.org/officeDocument/2006/relationships/hyperlink" Target="http://sarvagram.com" TargetMode="External"/><Relationship Id="rId281" Type="http://schemas.openxmlformats.org/officeDocument/2006/relationships/hyperlink" Target="http://tamarindinsurance.com" TargetMode="External"/><Relationship Id="rId280" Type="http://schemas.openxmlformats.org/officeDocument/2006/relationships/hyperlink" Target="http://loophealth.com" TargetMode="External"/><Relationship Id="rId159" Type="http://schemas.openxmlformats.org/officeDocument/2006/relationships/hyperlink" Target="http://sarvagram.com" TargetMode="External"/><Relationship Id="rId154" Type="http://schemas.openxmlformats.org/officeDocument/2006/relationships/hyperlink" Target="http://aon.com" TargetMode="External"/><Relationship Id="rId275" Type="http://schemas.openxmlformats.org/officeDocument/2006/relationships/hyperlink" Target="http://sriyah.in" TargetMode="External"/><Relationship Id="rId396" Type="http://schemas.openxmlformats.org/officeDocument/2006/relationships/hyperlink" Target="http://shrinithiinsure.com" TargetMode="External"/><Relationship Id="rId153" Type="http://schemas.openxmlformats.org/officeDocument/2006/relationships/hyperlink" Target="http://aon.com" TargetMode="External"/><Relationship Id="rId274" Type="http://schemas.openxmlformats.org/officeDocument/2006/relationships/hyperlink" Target="http://adityabirlamoney.com" TargetMode="External"/><Relationship Id="rId395" Type="http://schemas.openxmlformats.org/officeDocument/2006/relationships/hyperlink" Target="http://shrinithiinsure.com" TargetMode="External"/><Relationship Id="rId152" Type="http://schemas.openxmlformats.org/officeDocument/2006/relationships/hyperlink" Target="http://righthorizons.com" TargetMode="External"/><Relationship Id="rId273" Type="http://schemas.openxmlformats.org/officeDocument/2006/relationships/hyperlink" Target="http://adityabirlamoney.com" TargetMode="External"/><Relationship Id="rId394" Type="http://schemas.openxmlformats.org/officeDocument/2006/relationships/hyperlink" Target="http://cafsindia.com" TargetMode="External"/><Relationship Id="rId151" Type="http://schemas.openxmlformats.org/officeDocument/2006/relationships/hyperlink" Target="http://righthorizons.com" TargetMode="External"/><Relationship Id="rId272" Type="http://schemas.openxmlformats.org/officeDocument/2006/relationships/hyperlink" Target="http://nabfins.org" TargetMode="External"/><Relationship Id="rId393" Type="http://schemas.openxmlformats.org/officeDocument/2006/relationships/hyperlink" Target="http://cafsindia.com" TargetMode="External"/><Relationship Id="rId158" Type="http://schemas.openxmlformats.org/officeDocument/2006/relationships/hyperlink" Target="http://peerless.co.in" TargetMode="External"/><Relationship Id="rId279" Type="http://schemas.openxmlformats.org/officeDocument/2006/relationships/hyperlink" Target="http://loophealth.com" TargetMode="External"/><Relationship Id="rId157" Type="http://schemas.openxmlformats.org/officeDocument/2006/relationships/hyperlink" Target="http://peerless.co.in" TargetMode="External"/><Relationship Id="rId278" Type="http://schemas.openxmlformats.org/officeDocument/2006/relationships/hyperlink" Target="http://way2wealth.com" TargetMode="External"/><Relationship Id="rId399" Type="http://schemas.openxmlformats.org/officeDocument/2006/relationships/hyperlink" Target="http://invest4edu.com" TargetMode="External"/><Relationship Id="rId156" Type="http://schemas.openxmlformats.org/officeDocument/2006/relationships/hyperlink" Target="http://pmpib.com" TargetMode="External"/><Relationship Id="rId277" Type="http://schemas.openxmlformats.org/officeDocument/2006/relationships/hyperlink" Target="http://way2wealth.com" TargetMode="External"/><Relationship Id="rId398" Type="http://schemas.openxmlformats.org/officeDocument/2006/relationships/hyperlink" Target="http://cholasecurities.com" TargetMode="External"/><Relationship Id="rId155" Type="http://schemas.openxmlformats.org/officeDocument/2006/relationships/hyperlink" Target="http://pmpib.com" TargetMode="External"/><Relationship Id="rId276" Type="http://schemas.openxmlformats.org/officeDocument/2006/relationships/hyperlink" Target="http://sriyah.in" TargetMode="External"/><Relationship Id="rId397" Type="http://schemas.openxmlformats.org/officeDocument/2006/relationships/hyperlink" Target="http://cholasecurities.com" TargetMode="External"/><Relationship Id="rId40" Type="http://schemas.openxmlformats.org/officeDocument/2006/relationships/hyperlink" Target="http://bimabrothers.com" TargetMode="External"/><Relationship Id="rId42" Type="http://schemas.openxmlformats.org/officeDocument/2006/relationships/hyperlink" Target="http://moneyfrog.in" TargetMode="External"/><Relationship Id="rId41" Type="http://schemas.openxmlformats.org/officeDocument/2006/relationships/hyperlink" Target="http://moneyfrog.in" TargetMode="External"/><Relationship Id="rId44" Type="http://schemas.openxmlformats.org/officeDocument/2006/relationships/hyperlink" Target="http://lambach.in" TargetMode="External"/><Relationship Id="rId43" Type="http://schemas.openxmlformats.org/officeDocument/2006/relationships/hyperlink" Target="http://lambach.in" TargetMode="External"/><Relationship Id="rId46" Type="http://schemas.openxmlformats.org/officeDocument/2006/relationships/hyperlink" Target="http://insurancejarurihe.com" TargetMode="External"/><Relationship Id="rId45" Type="http://schemas.openxmlformats.org/officeDocument/2006/relationships/hyperlink" Target="http://insurancejarurihe.com" TargetMode="External"/><Relationship Id="rId509" Type="http://schemas.openxmlformats.org/officeDocument/2006/relationships/hyperlink" Target="http://nainitalbank.bank.in" TargetMode="External"/><Relationship Id="rId508" Type="http://schemas.openxmlformats.org/officeDocument/2006/relationships/hyperlink" Target="http://bimabro.com" TargetMode="External"/><Relationship Id="rId629" Type="http://schemas.openxmlformats.org/officeDocument/2006/relationships/hyperlink" Target="http://squareinsurance.in" TargetMode="External"/><Relationship Id="rId503" Type="http://schemas.openxmlformats.org/officeDocument/2006/relationships/hyperlink" Target="http://riskbirbal.com" TargetMode="External"/><Relationship Id="rId624" Type="http://schemas.openxmlformats.org/officeDocument/2006/relationships/hyperlink" Target="http://intactinsurance.co.in" TargetMode="External"/><Relationship Id="rId502" Type="http://schemas.openxmlformats.org/officeDocument/2006/relationships/hyperlink" Target="http://planswellib.com" TargetMode="External"/><Relationship Id="rId623" Type="http://schemas.openxmlformats.org/officeDocument/2006/relationships/hyperlink" Target="http://intactinsurance.co.in" TargetMode="External"/><Relationship Id="rId501" Type="http://schemas.openxmlformats.org/officeDocument/2006/relationships/hyperlink" Target="http://planswellib.com" TargetMode="External"/><Relationship Id="rId622" Type="http://schemas.openxmlformats.org/officeDocument/2006/relationships/hyperlink" Target="http://manasinsurancebrokers.com" TargetMode="External"/><Relationship Id="rId500" Type="http://schemas.openxmlformats.org/officeDocument/2006/relationships/hyperlink" Target="http://cars24.com" TargetMode="External"/><Relationship Id="rId621" Type="http://schemas.openxmlformats.org/officeDocument/2006/relationships/hyperlink" Target="http://manasinsurancebrokers.com" TargetMode="External"/><Relationship Id="rId507" Type="http://schemas.openxmlformats.org/officeDocument/2006/relationships/hyperlink" Target="http://bimabro.com" TargetMode="External"/><Relationship Id="rId628" Type="http://schemas.openxmlformats.org/officeDocument/2006/relationships/hyperlink" Target="http://westford.co.in" TargetMode="External"/><Relationship Id="rId506" Type="http://schemas.openxmlformats.org/officeDocument/2006/relationships/hyperlink" Target="http://rrpolicy.com" TargetMode="External"/><Relationship Id="rId627" Type="http://schemas.openxmlformats.org/officeDocument/2006/relationships/hyperlink" Target="http://westford.co.in" TargetMode="External"/><Relationship Id="rId505" Type="http://schemas.openxmlformats.org/officeDocument/2006/relationships/hyperlink" Target="http://rrpolicy.com" TargetMode="External"/><Relationship Id="rId626" Type="http://schemas.openxmlformats.org/officeDocument/2006/relationships/hyperlink" Target="http://futurisk.in" TargetMode="External"/><Relationship Id="rId504" Type="http://schemas.openxmlformats.org/officeDocument/2006/relationships/hyperlink" Target="http://riskbirbal.com" TargetMode="External"/><Relationship Id="rId625" Type="http://schemas.openxmlformats.org/officeDocument/2006/relationships/hyperlink" Target="http://futurisk.in" TargetMode="External"/><Relationship Id="rId48" Type="http://schemas.openxmlformats.org/officeDocument/2006/relationships/hyperlink" Target="http://irminsurance.in" TargetMode="External"/><Relationship Id="rId47" Type="http://schemas.openxmlformats.org/officeDocument/2006/relationships/hyperlink" Target="http://irminsurance.in" TargetMode="External"/><Relationship Id="rId49" Type="http://schemas.openxmlformats.org/officeDocument/2006/relationships/hyperlink" Target="http://reliassure.in" TargetMode="External"/><Relationship Id="rId620" Type="http://schemas.openxmlformats.org/officeDocument/2006/relationships/hyperlink" Target="http://ratnaafinsure.com" TargetMode="External"/><Relationship Id="rId31" Type="http://schemas.openxmlformats.org/officeDocument/2006/relationships/hyperlink" Target="http://phillipservices.com" TargetMode="External"/><Relationship Id="rId30" Type="http://schemas.openxmlformats.org/officeDocument/2006/relationships/hyperlink" Target="http://trothinsurance.com" TargetMode="External"/><Relationship Id="rId33" Type="http://schemas.openxmlformats.org/officeDocument/2006/relationships/hyperlink" Target="http://superfinserv.com" TargetMode="External"/><Relationship Id="rId32" Type="http://schemas.openxmlformats.org/officeDocument/2006/relationships/hyperlink" Target="http://phillipservices.com" TargetMode="External"/><Relationship Id="rId35" Type="http://schemas.openxmlformats.org/officeDocument/2006/relationships/hyperlink" Target="http://odininsurance.com" TargetMode="External"/><Relationship Id="rId34" Type="http://schemas.openxmlformats.org/officeDocument/2006/relationships/hyperlink" Target="http://superfinserv.com" TargetMode="External"/><Relationship Id="rId619" Type="http://schemas.openxmlformats.org/officeDocument/2006/relationships/hyperlink" Target="http://ratnaafinsure.com" TargetMode="External"/><Relationship Id="rId618" Type="http://schemas.openxmlformats.org/officeDocument/2006/relationships/hyperlink" Target="http://jbbodagroup.com" TargetMode="External"/><Relationship Id="rId613" Type="http://schemas.openxmlformats.org/officeDocument/2006/relationships/hyperlink" Target="http://orangecapital.co.in" TargetMode="External"/><Relationship Id="rId612" Type="http://schemas.openxmlformats.org/officeDocument/2006/relationships/hyperlink" Target="http://epochbrokers.com" TargetMode="External"/><Relationship Id="rId611" Type="http://schemas.openxmlformats.org/officeDocument/2006/relationships/hyperlink" Target="http://epochbrokers.com" TargetMode="External"/><Relationship Id="rId610" Type="http://schemas.openxmlformats.org/officeDocument/2006/relationships/hyperlink" Target="http://howdengroup.com" TargetMode="External"/><Relationship Id="rId617" Type="http://schemas.openxmlformats.org/officeDocument/2006/relationships/hyperlink" Target="http://jbbodagroup.com" TargetMode="External"/><Relationship Id="rId616" Type="http://schemas.openxmlformats.org/officeDocument/2006/relationships/hyperlink" Target="http://uibindia.com" TargetMode="External"/><Relationship Id="rId615" Type="http://schemas.openxmlformats.org/officeDocument/2006/relationships/hyperlink" Target="http://uibindia.com" TargetMode="External"/><Relationship Id="rId614" Type="http://schemas.openxmlformats.org/officeDocument/2006/relationships/hyperlink" Target="http://orangecapital.co.in" TargetMode="External"/><Relationship Id="rId37" Type="http://schemas.openxmlformats.org/officeDocument/2006/relationships/hyperlink" Target="http://insurance4life.in" TargetMode="External"/><Relationship Id="rId36" Type="http://schemas.openxmlformats.org/officeDocument/2006/relationships/hyperlink" Target="http://odininsurance.com" TargetMode="External"/><Relationship Id="rId39" Type="http://schemas.openxmlformats.org/officeDocument/2006/relationships/hyperlink" Target="http://bimabrothers.com" TargetMode="External"/><Relationship Id="rId38" Type="http://schemas.openxmlformats.org/officeDocument/2006/relationships/hyperlink" Target="http://insurance4life.in" TargetMode="External"/><Relationship Id="rId20" Type="http://schemas.openxmlformats.org/officeDocument/2006/relationships/hyperlink" Target="http://samyagbroking.com" TargetMode="External"/><Relationship Id="rId22" Type="http://schemas.openxmlformats.org/officeDocument/2006/relationships/hyperlink" Target="http://ensigninsuranceltd.com" TargetMode="External"/><Relationship Id="rId21" Type="http://schemas.openxmlformats.org/officeDocument/2006/relationships/hyperlink" Target="http://ensigninsuranceltd.com" TargetMode="External"/><Relationship Id="rId24" Type="http://schemas.openxmlformats.org/officeDocument/2006/relationships/hyperlink" Target="http://pincinsurance.com" TargetMode="External"/><Relationship Id="rId23" Type="http://schemas.openxmlformats.org/officeDocument/2006/relationships/hyperlink" Target="http://pincinsurance.com" TargetMode="External"/><Relationship Id="rId409" Type="http://schemas.openxmlformats.org/officeDocument/2006/relationships/hyperlink" Target="http://oslgroup.co.in" TargetMode="External"/><Relationship Id="rId404" Type="http://schemas.openxmlformats.org/officeDocument/2006/relationships/hyperlink" Target="http://clientassociates.com" TargetMode="External"/><Relationship Id="rId525" Type="http://schemas.openxmlformats.org/officeDocument/2006/relationships/hyperlink" Target="http://coverkraft.com" TargetMode="External"/><Relationship Id="rId646" Type="http://schemas.openxmlformats.org/officeDocument/2006/relationships/hyperlink" Target="http://global.lockton.com" TargetMode="External"/><Relationship Id="rId403" Type="http://schemas.openxmlformats.org/officeDocument/2006/relationships/hyperlink" Target="http://clientassociates.com" TargetMode="External"/><Relationship Id="rId524" Type="http://schemas.openxmlformats.org/officeDocument/2006/relationships/hyperlink" Target="http://belstar.in" TargetMode="External"/><Relationship Id="rId645" Type="http://schemas.openxmlformats.org/officeDocument/2006/relationships/hyperlink" Target="http://global.lockton.com" TargetMode="External"/><Relationship Id="rId402" Type="http://schemas.openxmlformats.org/officeDocument/2006/relationships/hyperlink" Target="http://reliancesmartmoney.com" TargetMode="External"/><Relationship Id="rId523" Type="http://schemas.openxmlformats.org/officeDocument/2006/relationships/hyperlink" Target="http://belstar.in" TargetMode="External"/><Relationship Id="rId644" Type="http://schemas.openxmlformats.org/officeDocument/2006/relationships/hyperlink" Target="http://magnuminsurance.in" TargetMode="External"/><Relationship Id="rId401" Type="http://schemas.openxmlformats.org/officeDocument/2006/relationships/hyperlink" Target="http://reliancesmartmoney.com" TargetMode="External"/><Relationship Id="rId522" Type="http://schemas.openxmlformats.org/officeDocument/2006/relationships/hyperlink" Target="http://devanshinsurance.com" TargetMode="External"/><Relationship Id="rId643" Type="http://schemas.openxmlformats.org/officeDocument/2006/relationships/hyperlink" Target="http://magnuminsurance.in" TargetMode="External"/><Relationship Id="rId408" Type="http://schemas.openxmlformats.org/officeDocument/2006/relationships/hyperlink" Target="http://manashreeins.com" TargetMode="External"/><Relationship Id="rId529" Type="http://schemas.openxmlformats.org/officeDocument/2006/relationships/hyperlink" Target="http://altumcredo.co.in" TargetMode="External"/><Relationship Id="rId407" Type="http://schemas.openxmlformats.org/officeDocument/2006/relationships/hyperlink" Target="http://manashreeins.com" TargetMode="External"/><Relationship Id="rId528" Type="http://schemas.openxmlformats.org/officeDocument/2006/relationships/hyperlink" Target="http://fusionfin.com" TargetMode="External"/><Relationship Id="rId649" Type="http://schemas.openxmlformats.org/officeDocument/2006/relationships/hyperlink" Target="http://nuvamawealth.com" TargetMode="External"/><Relationship Id="rId406" Type="http://schemas.openxmlformats.org/officeDocument/2006/relationships/hyperlink" Target="http://vulcaninsurance.co.in" TargetMode="External"/><Relationship Id="rId527" Type="http://schemas.openxmlformats.org/officeDocument/2006/relationships/hyperlink" Target="http://fusionfin.com" TargetMode="External"/><Relationship Id="rId648" Type="http://schemas.openxmlformats.org/officeDocument/2006/relationships/hyperlink" Target="http://visistarisk.com" TargetMode="External"/><Relationship Id="rId405" Type="http://schemas.openxmlformats.org/officeDocument/2006/relationships/hyperlink" Target="http://vulcaninsurance.co.in" TargetMode="External"/><Relationship Id="rId526" Type="http://schemas.openxmlformats.org/officeDocument/2006/relationships/hyperlink" Target="http://coverkraft.com" TargetMode="External"/><Relationship Id="rId647" Type="http://schemas.openxmlformats.org/officeDocument/2006/relationships/hyperlink" Target="http://visistarisk.com" TargetMode="External"/><Relationship Id="rId26" Type="http://schemas.openxmlformats.org/officeDocument/2006/relationships/hyperlink" Target="http://pos.veritasins.com" TargetMode="External"/><Relationship Id="rId25" Type="http://schemas.openxmlformats.org/officeDocument/2006/relationships/hyperlink" Target="http://pos.veritasins.com" TargetMode="External"/><Relationship Id="rId28" Type="http://schemas.openxmlformats.org/officeDocument/2006/relationships/hyperlink" Target="http://instaraksha.com" TargetMode="External"/><Relationship Id="rId27" Type="http://schemas.openxmlformats.org/officeDocument/2006/relationships/hyperlink" Target="http://instaraksha.com" TargetMode="External"/><Relationship Id="rId400" Type="http://schemas.openxmlformats.org/officeDocument/2006/relationships/hyperlink" Target="http://invest4edu.com" TargetMode="External"/><Relationship Id="rId521" Type="http://schemas.openxmlformats.org/officeDocument/2006/relationships/hyperlink" Target="http://devanshinsurance.com" TargetMode="External"/><Relationship Id="rId642" Type="http://schemas.openxmlformats.org/officeDocument/2006/relationships/hyperlink" Target="http://bharatre.in" TargetMode="External"/><Relationship Id="rId29" Type="http://schemas.openxmlformats.org/officeDocument/2006/relationships/hyperlink" Target="http://trothinsurance.com" TargetMode="External"/><Relationship Id="rId520" Type="http://schemas.openxmlformats.org/officeDocument/2006/relationships/hyperlink" Target="http://apollo247insurance.com" TargetMode="External"/><Relationship Id="rId641" Type="http://schemas.openxmlformats.org/officeDocument/2006/relationships/hyperlink" Target="http://bharatre.in" TargetMode="External"/><Relationship Id="rId640" Type="http://schemas.openxmlformats.org/officeDocument/2006/relationships/hyperlink" Target="http://policy99.com" TargetMode="External"/><Relationship Id="rId11" Type="http://schemas.openxmlformats.org/officeDocument/2006/relationships/hyperlink" Target="http://fincharts.co.in" TargetMode="External"/><Relationship Id="rId10" Type="http://schemas.openxmlformats.org/officeDocument/2006/relationships/hyperlink" Target="http://equitas.bank.in" TargetMode="External"/><Relationship Id="rId13" Type="http://schemas.openxmlformats.org/officeDocument/2006/relationships/hyperlink" Target="http://dolphininsurance.in" TargetMode="External"/><Relationship Id="rId12" Type="http://schemas.openxmlformats.org/officeDocument/2006/relationships/hyperlink" Target="http://fincharts.co.in" TargetMode="External"/><Relationship Id="rId519" Type="http://schemas.openxmlformats.org/officeDocument/2006/relationships/hyperlink" Target="http://apollo247insurance.com" TargetMode="External"/><Relationship Id="rId514" Type="http://schemas.openxmlformats.org/officeDocument/2006/relationships/hyperlink" Target="http://derisq.com" TargetMode="External"/><Relationship Id="rId635" Type="http://schemas.openxmlformats.org/officeDocument/2006/relationships/hyperlink" Target="http://catalystbrokers.com" TargetMode="External"/><Relationship Id="rId513" Type="http://schemas.openxmlformats.org/officeDocument/2006/relationships/hyperlink" Target="http://derisq.com" TargetMode="External"/><Relationship Id="rId634" Type="http://schemas.openxmlformats.org/officeDocument/2006/relationships/hyperlink" Target="http://policybazaar.com" TargetMode="External"/><Relationship Id="rId512" Type="http://schemas.openxmlformats.org/officeDocument/2006/relationships/hyperlink" Target="http://apgb.bank.in" TargetMode="External"/><Relationship Id="rId633" Type="http://schemas.openxmlformats.org/officeDocument/2006/relationships/hyperlink" Target="http://policybazaar.com" TargetMode="External"/><Relationship Id="rId511" Type="http://schemas.openxmlformats.org/officeDocument/2006/relationships/hyperlink" Target="http://apgb.bank.in" TargetMode="External"/><Relationship Id="rId632" Type="http://schemas.openxmlformats.org/officeDocument/2006/relationships/hyperlink" Target="http://policyboss.com" TargetMode="External"/><Relationship Id="rId518" Type="http://schemas.openxmlformats.org/officeDocument/2006/relationships/hyperlink" Target="http://akshayagroup.net" TargetMode="External"/><Relationship Id="rId639" Type="http://schemas.openxmlformats.org/officeDocument/2006/relationships/hyperlink" Target="http://policy99.com" TargetMode="External"/><Relationship Id="rId517" Type="http://schemas.openxmlformats.org/officeDocument/2006/relationships/hyperlink" Target="http://akshayagroup.net" TargetMode="External"/><Relationship Id="rId638" Type="http://schemas.openxmlformats.org/officeDocument/2006/relationships/hyperlink" Target="http://relitrade.in" TargetMode="External"/><Relationship Id="rId516" Type="http://schemas.openxmlformats.org/officeDocument/2006/relationships/hyperlink" Target="http://winsurance.in" TargetMode="External"/><Relationship Id="rId637" Type="http://schemas.openxmlformats.org/officeDocument/2006/relationships/hyperlink" Target="http://relitrade.in" TargetMode="External"/><Relationship Id="rId515" Type="http://schemas.openxmlformats.org/officeDocument/2006/relationships/hyperlink" Target="http://winsurance.in" TargetMode="External"/><Relationship Id="rId636" Type="http://schemas.openxmlformats.org/officeDocument/2006/relationships/hyperlink" Target="http://catalystbrokers.com" TargetMode="External"/><Relationship Id="rId15" Type="http://schemas.openxmlformats.org/officeDocument/2006/relationships/hyperlink" Target="http://crci.in" TargetMode="External"/><Relationship Id="rId14" Type="http://schemas.openxmlformats.org/officeDocument/2006/relationships/hyperlink" Target="http://dolphininsurance.in" TargetMode="External"/><Relationship Id="rId17" Type="http://schemas.openxmlformats.org/officeDocument/2006/relationships/hyperlink" Target="http://infinainsure.com" TargetMode="External"/><Relationship Id="rId16" Type="http://schemas.openxmlformats.org/officeDocument/2006/relationships/hyperlink" Target="http://crci.in" TargetMode="External"/><Relationship Id="rId19" Type="http://schemas.openxmlformats.org/officeDocument/2006/relationships/hyperlink" Target="http://samyagbroking.com" TargetMode="External"/><Relationship Id="rId510" Type="http://schemas.openxmlformats.org/officeDocument/2006/relationships/hyperlink" Target="http://nainitalbank.bank.in" TargetMode="External"/><Relationship Id="rId631" Type="http://schemas.openxmlformats.org/officeDocument/2006/relationships/hyperlink" Target="http://policyboss.com" TargetMode="External"/><Relationship Id="rId18" Type="http://schemas.openxmlformats.org/officeDocument/2006/relationships/hyperlink" Target="http://infinainsure.com" TargetMode="External"/><Relationship Id="rId630" Type="http://schemas.openxmlformats.org/officeDocument/2006/relationships/hyperlink" Target="http://squareinsurance.in" TargetMode="External"/><Relationship Id="rId84" Type="http://schemas.openxmlformats.org/officeDocument/2006/relationships/hyperlink" Target="http://policypoint.co" TargetMode="External"/><Relationship Id="rId83" Type="http://schemas.openxmlformats.org/officeDocument/2006/relationships/hyperlink" Target="http://policypoint.co" TargetMode="External"/><Relationship Id="rId86" Type="http://schemas.openxmlformats.org/officeDocument/2006/relationships/hyperlink" Target="http://vittachayainsurance.com" TargetMode="External"/><Relationship Id="rId85" Type="http://schemas.openxmlformats.org/officeDocument/2006/relationships/hyperlink" Target="http://vittachayainsurance.com" TargetMode="External"/><Relationship Id="rId88" Type="http://schemas.openxmlformats.org/officeDocument/2006/relationships/hyperlink" Target="http://novabroking.com" TargetMode="External"/><Relationship Id="rId87" Type="http://schemas.openxmlformats.org/officeDocument/2006/relationships/hyperlink" Target="http://novabroking.com" TargetMode="External"/><Relationship Id="rId89" Type="http://schemas.openxmlformats.org/officeDocument/2006/relationships/hyperlink" Target="http://alacrityib.in" TargetMode="External"/><Relationship Id="rId709" Type="http://schemas.openxmlformats.org/officeDocument/2006/relationships/hyperlink" Target="http://drvindia.com" TargetMode="External"/><Relationship Id="rId708" Type="http://schemas.openxmlformats.org/officeDocument/2006/relationships/hyperlink" Target="http://armourrinsurance.com" TargetMode="External"/><Relationship Id="rId707" Type="http://schemas.openxmlformats.org/officeDocument/2006/relationships/hyperlink" Target="http://armourrinsurance.com" TargetMode="External"/><Relationship Id="rId706" Type="http://schemas.openxmlformats.org/officeDocument/2006/relationships/hyperlink" Target="http://sammaancapital.com" TargetMode="External"/><Relationship Id="rId80" Type="http://schemas.openxmlformats.org/officeDocument/2006/relationships/hyperlink" Target="http://indmoney.com" TargetMode="External"/><Relationship Id="rId82" Type="http://schemas.openxmlformats.org/officeDocument/2006/relationships/hyperlink" Target="http://ajg.com" TargetMode="External"/><Relationship Id="rId81" Type="http://schemas.openxmlformats.org/officeDocument/2006/relationships/hyperlink" Target="http://ajg.com" TargetMode="External"/><Relationship Id="rId701" Type="http://schemas.openxmlformats.org/officeDocument/2006/relationships/hyperlink" Target="http://jubiliant.co.in" TargetMode="External"/><Relationship Id="rId700" Type="http://schemas.openxmlformats.org/officeDocument/2006/relationships/hyperlink" Target="http://capitalsquare.in" TargetMode="External"/><Relationship Id="rId705" Type="http://schemas.openxmlformats.org/officeDocument/2006/relationships/hyperlink" Target="http://sammaancapital.com" TargetMode="External"/><Relationship Id="rId704" Type="http://schemas.openxmlformats.org/officeDocument/2006/relationships/hyperlink" Target="http://in.dohabank.com" TargetMode="External"/><Relationship Id="rId703" Type="http://schemas.openxmlformats.org/officeDocument/2006/relationships/hyperlink" Target="http://in.dohabank.com" TargetMode="External"/><Relationship Id="rId702" Type="http://schemas.openxmlformats.org/officeDocument/2006/relationships/hyperlink" Target="http://jubiliant.co.in" TargetMode="External"/><Relationship Id="rId73" Type="http://schemas.openxmlformats.org/officeDocument/2006/relationships/hyperlink" Target="http://prudentbrokers.com" TargetMode="External"/><Relationship Id="rId72" Type="http://schemas.openxmlformats.org/officeDocument/2006/relationships/hyperlink" Target="http://insurenearby.in" TargetMode="External"/><Relationship Id="rId75" Type="http://schemas.openxmlformats.org/officeDocument/2006/relationships/hyperlink" Target="http://coverfox.com" TargetMode="External"/><Relationship Id="rId74" Type="http://schemas.openxmlformats.org/officeDocument/2006/relationships/hyperlink" Target="http://prudentbrokers.com" TargetMode="External"/><Relationship Id="rId77" Type="http://schemas.openxmlformats.org/officeDocument/2006/relationships/hyperlink" Target="http://covermitra.com" TargetMode="External"/><Relationship Id="rId76" Type="http://schemas.openxmlformats.org/officeDocument/2006/relationships/hyperlink" Target="http://coverfox.com" TargetMode="External"/><Relationship Id="rId79" Type="http://schemas.openxmlformats.org/officeDocument/2006/relationships/hyperlink" Target="http://indmoney.com" TargetMode="External"/><Relationship Id="rId78" Type="http://schemas.openxmlformats.org/officeDocument/2006/relationships/hyperlink" Target="http://covermitra.com" TargetMode="External"/><Relationship Id="rId71" Type="http://schemas.openxmlformats.org/officeDocument/2006/relationships/hyperlink" Target="http://insurenearby.in" TargetMode="External"/><Relationship Id="rId70" Type="http://schemas.openxmlformats.org/officeDocument/2006/relationships/hyperlink" Target="http://app.gintejainsurance.com" TargetMode="External"/><Relationship Id="rId62" Type="http://schemas.openxmlformats.org/officeDocument/2006/relationships/hyperlink" Target="http://regalinsurancebrokers.com" TargetMode="External"/><Relationship Id="rId61" Type="http://schemas.openxmlformats.org/officeDocument/2006/relationships/hyperlink" Target="http://regalinsurancebrokers.com" TargetMode="External"/><Relationship Id="rId64" Type="http://schemas.openxmlformats.org/officeDocument/2006/relationships/hyperlink" Target="http://torqueinsure.com" TargetMode="External"/><Relationship Id="rId63" Type="http://schemas.openxmlformats.org/officeDocument/2006/relationships/hyperlink" Target="http://torqueinsure.com" TargetMode="External"/><Relationship Id="rId66" Type="http://schemas.openxmlformats.org/officeDocument/2006/relationships/hyperlink" Target="http://aryavinsurance.com" TargetMode="External"/><Relationship Id="rId65" Type="http://schemas.openxmlformats.org/officeDocument/2006/relationships/hyperlink" Target="http://aryavinsurance.com" TargetMode="External"/><Relationship Id="rId68" Type="http://schemas.openxmlformats.org/officeDocument/2006/relationships/hyperlink" Target="http://paavanains.co.in" TargetMode="External"/><Relationship Id="rId67" Type="http://schemas.openxmlformats.org/officeDocument/2006/relationships/hyperlink" Target="http://paavanains.co.in" TargetMode="External"/><Relationship Id="rId609" Type="http://schemas.openxmlformats.org/officeDocument/2006/relationships/hyperlink" Target="http://howdengroup.com" TargetMode="External"/><Relationship Id="rId608" Type="http://schemas.openxmlformats.org/officeDocument/2006/relationships/hyperlink" Target="http://trailblazerinsurance.in" TargetMode="External"/><Relationship Id="rId607" Type="http://schemas.openxmlformats.org/officeDocument/2006/relationships/hyperlink" Target="http://trailblazerinsurance.in" TargetMode="External"/><Relationship Id="rId60" Type="http://schemas.openxmlformats.org/officeDocument/2006/relationships/hyperlink" Target="http://paytminsurance.co.in" TargetMode="External"/><Relationship Id="rId602" Type="http://schemas.openxmlformats.org/officeDocument/2006/relationships/hyperlink" Target="http://globesecure.co.in" TargetMode="External"/><Relationship Id="rId601" Type="http://schemas.openxmlformats.org/officeDocument/2006/relationships/hyperlink" Target="http://globesecure.co.in" TargetMode="External"/><Relationship Id="rId600" Type="http://schemas.openxmlformats.org/officeDocument/2006/relationships/hyperlink" Target="http://lmvinsurancebroking.com" TargetMode="External"/><Relationship Id="rId606" Type="http://schemas.openxmlformats.org/officeDocument/2006/relationships/hyperlink" Target="http://it.acuvisor.com" TargetMode="External"/><Relationship Id="rId605" Type="http://schemas.openxmlformats.org/officeDocument/2006/relationships/hyperlink" Target="http://it.acuvisor.com" TargetMode="External"/><Relationship Id="rId604" Type="http://schemas.openxmlformats.org/officeDocument/2006/relationships/hyperlink" Target="http://muthootinsurancebrokers.com" TargetMode="External"/><Relationship Id="rId603" Type="http://schemas.openxmlformats.org/officeDocument/2006/relationships/hyperlink" Target="http://muthootinsurancebrokers.com" TargetMode="External"/><Relationship Id="rId69" Type="http://schemas.openxmlformats.org/officeDocument/2006/relationships/hyperlink" Target="http://app.gintejainsurance.com" TargetMode="External"/><Relationship Id="rId51" Type="http://schemas.openxmlformats.org/officeDocument/2006/relationships/hyperlink" Target="http://reviewrisk.com" TargetMode="External"/><Relationship Id="rId50" Type="http://schemas.openxmlformats.org/officeDocument/2006/relationships/hyperlink" Target="http://reliassure.in" TargetMode="External"/><Relationship Id="rId53" Type="http://schemas.openxmlformats.org/officeDocument/2006/relationships/hyperlink" Target="http://spacapital.com" TargetMode="External"/><Relationship Id="rId52" Type="http://schemas.openxmlformats.org/officeDocument/2006/relationships/hyperlink" Target="http://reviewrisk.com" TargetMode="External"/><Relationship Id="rId55" Type="http://schemas.openxmlformats.org/officeDocument/2006/relationships/hyperlink" Target="http://bewealthy.co.in" TargetMode="External"/><Relationship Id="rId54" Type="http://schemas.openxmlformats.org/officeDocument/2006/relationships/hyperlink" Target="http://spacapital.com" TargetMode="External"/><Relationship Id="rId57" Type="http://schemas.openxmlformats.org/officeDocument/2006/relationships/hyperlink" Target="http://policyx.com" TargetMode="External"/><Relationship Id="rId56" Type="http://schemas.openxmlformats.org/officeDocument/2006/relationships/hyperlink" Target="http://bewealthy.co.in" TargetMode="External"/><Relationship Id="rId712" Type="http://schemas.openxmlformats.org/officeDocument/2006/relationships/hyperlink" Target="http://plinsurance.co.in" TargetMode="External"/><Relationship Id="rId711" Type="http://schemas.openxmlformats.org/officeDocument/2006/relationships/hyperlink" Target="http://plinsurance.co.in" TargetMode="External"/><Relationship Id="rId710" Type="http://schemas.openxmlformats.org/officeDocument/2006/relationships/hyperlink" Target="http://drvindia.com" TargetMode="External"/><Relationship Id="rId713" Type="http://schemas.openxmlformats.org/officeDocument/2006/relationships/drawing" Target="../drawings/drawing2.xml"/><Relationship Id="rId59" Type="http://schemas.openxmlformats.org/officeDocument/2006/relationships/hyperlink" Target="http://paytminsurance.co.in" TargetMode="External"/><Relationship Id="rId58" Type="http://schemas.openxmlformats.org/officeDocument/2006/relationships/hyperlink" Target="http://policyx.com" TargetMode="External"/><Relationship Id="rId590" Type="http://schemas.openxmlformats.org/officeDocument/2006/relationships/hyperlink" Target="http://centrumwealth.co.in" TargetMode="External"/><Relationship Id="rId107" Type="http://schemas.openxmlformats.org/officeDocument/2006/relationships/hyperlink" Target="http://peraj.com" TargetMode="External"/><Relationship Id="rId228" Type="http://schemas.openxmlformats.org/officeDocument/2006/relationships/hyperlink" Target="http://superpolicy.in" TargetMode="External"/><Relationship Id="rId349" Type="http://schemas.openxmlformats.org/officeDocument/2006/relationships/hyperlink" Target="http://onesure.co.in" TargetMode="External"/><Relationship Id="rId106" Type="http://schemas.openxmlformats.org/officeDocument/2006/relationships/hyperlink" Target="http://ethika.co.in" TargetMode="External"/><Relationship Id="rId227" Type="http://schemas.openxmlformats.org/officeDocument/2006/relationships/hyperlink" Target="http://superpolicy.in" TargetMode="External"/><Relationship Id="rId348" Type="http://schemas.openxmlformats.org/officeDocument/2006/relationships/hyperlink" Target="http://heuteandmorgen.com" TargetMode="External"/><Relationship Id="rId469" Type="http://schemas.openxmlformats.org/officeDocument/2006/relationships/hyperlink" Target="http://capalin.com" TargetMode="External"/><Relationship Id="rId105" Type="http://schemas.openxmlformats.org/officeDocument/2006/relationships/hyperlink" Target="http://ethika.co.in" TargetMode="External"/><Relationship Id="rId226" Type="http://schemas.openxmlformats.org/officeDocument/2006/relationships/hyperlink" Target="http://arohan.in" TargetMode="External"/><Relationship Id="rId347" Type="http://schemas.openxmlformats.org/officeDocument/2006/relationships/hyperlink" Target="http://heuteandmorgen.com" TargetMode="External"/><Relationship Id="rId468" Type="http://schemas.openxmlformats.org/officeDocument/2006/relationships/hyperlink" Target="http://ibexer.com" TargetMode="External"/><Relationship Id="rId589" Type="http://schemas.openxmlformats.org/officeDocument/2006/relationships/hyperlink" Target="http://centrumwealth.co.in" TargetMode="External"/><Relationship Id="rId104" Type="http://schemas.openxmlformats.org/officeDocument/2006/relationships/hyperlink" Target="http://securus.in" TargetMode="External"/><Relationship Id="rId225" Type="http://schemas.openxmlformats.org/officeDocument/2006/relationships/hyperlink" Target="http://arohan.in" TargetMode="External"/><Relationship Id="rId346" Type="http://schemas.openxmlformats.org/officeDocument/2006/relationships/hyperlink" Target="http://goproibpl.com" TargetMode="External"/><Relationship Id="rId467" Type="http://schemas.openxmlformats.org/officeDocument/2006/relationships/hyperlink" Target="http://ibexer.com" TargetMode="External"/><Relationship Id="rId588" Type="http://schemas.openxmlformats.org/officeDocument/2006/relationships/hyperlink" Target="http://accurateriskmanagers.com" TargetMode="External"/><Relationship Id="rId109" Type="http://schemas.openxmlformats.org/officeDocument/2006/relationships/hyperlink" Target="http://bharatbhushaninsurance.com" TargetMode="External"/><Relationship Id="rId108" Type="http://schemas.openxmlformats.org/officeDocument/2006/relationships/hyperlink" Target="http://peraj.com" TargetMode="External"/><Relationship Id="rId229" Type="http://schemas.openxmlformats.org/officeDocument/2006/relationships/hyperlink" Target="http://pibinsurance.in" TargetMode="External"/><Relationship Id="rId220" Type="http://schemas.openxmlformats.org/officeDocument/2006/relationships/hyperlink" Target="http://beema1.com" TargetMode="External"/><Relationship Id="rId341" Type="http://schemas.openxmlformats.org/officeDocument/2006/relationships/hyperlink" Target="http://respo.co.in" TargetMode="External"/><Relationship Id="rId462" Type="http://schemas.openxmlformats.org/officeDocument/2006/relationships/hyperlink" Target="http://supremacyinsurance.com" TargetMode="External"/><Relationship Id="rId583" Type="http://schemas.openxmlformats.org/officeDocument/2006/relationships/hyperlink" Target="http://shiftrisk.com" TargetMode="External"/><Relationship Id="rId340" Type="http://schemas.openxmlformats.org/officeDocument/2006/relationships/hyperlink" Target="http://sparkadvisors.in" TargetMode="External"/><Relationship Id="rId461" Type="http://schemas.openxmlformats.org/officeDocument/2006/relationships/hyperlink" Target="http://supremacyinsurance.com" TargetMode="External"/><Relationship Id="rId582" Type="http://schemas.openxmlformats.org/officeDocument/2006/relationships/hyperlink" Target="http://zoominsurancebrokers.com" TargetMode="External"/><Relationship Id="rId460" Type="http://schemas.openxmlformats.org/officeDocument/2006/relationships/hyperlink" Target="http://hibl.in" TargetMode="External"/><Relationship Id="rId581" Type="http://schemas.openxmlformats.org/officeDocument/2006/relationships/hyperlink" Target="http://zoominsurancebrokers.com" TargetMode="External"/><Relationship Id="rId580" Type="http://schemas.openxmlformats.org/officeDocument/2006/relationships/hyperlink" Target="http://providenceindia.in" TargetMode="External"/><Relationship Id="rId103" Type="http://schemas.openxmlformats.org/officeDocument/2006/relationships/hyperlink" Target="http://securus.in" TargetMode="External"/><Relationship Id="rId224" Type="http://schemas.openxmlformats.org/officeDocument/2006/relationships/hyperlink" Target="http://iiflhomeloans.com" TargetMode="External"/><Relationship Id="rId345" Type="http://schemas.openxmlformats.org/officeDocument/2006/relationships/hyperlink" Target="http://goproibpl.com" TargetMode="External"/><Relationship Id="rId466" Type="http://schemas.openxmlformats.org/officeDocument/2006/relationships/hyperlink" Target="http://beyondtoday.in" TargetMode="External"/><Relationship Id="rId587" Type="http://schemas.openxmlformats.org/officeDocument/2006/relationships/hyperlink" Target="http://accurateriskmanagers.com" TargetMode="External"/><Relationship Id="rId102" Type="http://schemas.openxmlformats.org/officeDocument/2006/relationships/hyperlink" Target="http://healthysure.in" TargetMode="External"/><Relationship Id="rId223" Type="http://schemas.openxmlformats.org/officeDocument/2006/relationships/hyperlink" Target="http://iiflhomeloans.com" TargetMode="External"/><Relationship Id="rId344" Type="http://schemas.openxmlformats.org/officeDocument/2006/relationships/hyperlink" Target="http://rudrainsurance.website2.me" TargetMode="External"/><Relationship Id="rId465" Type="http://schemas.openxmlformats.org/officeDocument/2006/relationships/hyperlink" Target="http://beyondtoday.in" TargetMode="External"/><Relationship Id="rId586" Type="http://schemas.openxmlformats.org/officeDocument/2006/relationships/hyperlink" Target="http://shareindiainsurance.com" TargetMode="External"/><Relationship Id="rId101" Type="http://schemas.openxmlformats.org/officeDocument/2006/relationships/hyperlink" Target="http://healthysure.in" TargetMode="External"/><Relationship Id="rId222" Type="http://schemas.openxmlformats.org/officeDocument/2006/relationships/hyperlink" Target="http://neoinsurance.co.in" TargetMode="External"/><Relationship Id="rId343" Type="http://schemas.openxmlformats.org/officeDocument/2006/relationships/hyperlink" Target="http://rudrainsurance.website2.me" TargetMode="External"/><Relationship Id="rId464" Type="http://schemas.openxmlformats.org/officeDocument/2006/relationships/hyperlink" Target="http://coverton.in" TargetMode="External"/><Relationship Id="rId585" Type="http://schemas.openxmlformats.org/officeDocument/2006/relationships/hyperlink" Target="http://shareindiainsurance.com" TargetMode="External"/><Relationship Id="rId100" Type="http://schemas.openxmlformats.org/officeDocument/2006/relationships/hyperlink" Target="http://m.assetplus.in" TargetMode="External"/><Relationship Id="rId221" Type="http://schemas.openxmlformats.org/officeDocument/2006/relationships/hyperlink" Target="http://neoinsurance.co.in" TargetMode="External"/><Relationship Id="rId342" Type="http://schemas.openxmlformats.org/officeDocument/2006/relationships/hyperlink" Target="http://respo.co.in" TargetMode="External"/><Relationship Id="rId463" Type="http://schemas.openxmlformats.org/officeDocument/2006/relationships/hyperlink" Target="http://coverton.in" TargetMode="External"/><Relationship Id="rId584" Type="http://schemas.openxmlformats.org/officeDocument/2006/relationships/hyperlink" Target="http://shiftrisk.com" TargetMode="External"/><Relationship Id="rId217" Type="http://schemas.openxmlformats.org/officeDocument/2006/relationships/hyperlink" Target="http://goinsureindia.com" TargetMode="External"/><Relationship Id="rId338" Type="http://schemas.openxmlformats.org/officeDocument/2006/relationships/hyperlink" Target="http://merasuraksha.com" TargetMode="External"/><Relationship Id="rId459" Type="http://schemas.openxmlformats.org/officeDocument/2006/relationships/hyperlink" Target="http://hibl.in" TargetMode="External"/><Relationship Id="rId216" Type="http://schemas.openxmlformats.org/officeDocument/2006/relationships/hyperlink" Target="http://fortunefive.in" TargetMode="External"/><Relationship Id="rId337" Type="http://schemas.openxmlformats.org/officeDocument/2006/relationships/hyperlink" Target="http://merasuraksha.com" TargetMode="External"/><Relationship Id="rId458" Type="http://schemas.openxmlformats.org/officeDocument/2006/relationships/hyperlink" Target="http://namfin.in" TargetMode="External"/><Relationship Id="rId579" Type="http://schemas.openxmlformats.org/officeDocument/2006/relationships/hyperlink" Target="http://providenceindia.in" TargetMode="External"/><Relationship Id="rId215" Type="http://schemas.openxmlformats.org/officeDocument/2006/relationships/hyperlink" Target="http://fortunefive.in" TargetMode="External"/><Relationship Id="rId336" Type="http://schemas.openxmlformats.org/officeDocument/2006/relationships/hyperlink" Target="http://bimasolutions.com" TargetMode="External"/><Relationship Id="rId457" Type="http://schemas.openxmlformats.org/officeDocument/2006/relationships/hyperlink" Target="http://namfin.in" TargetMode="External"/><Relationship Id="rId578" Type="http://schemas.openxmlformats.org/officeDocument/2006/relationships/hyperlink" Target="http://smcinsurance.com" TargetMode="External"/><Relationship Id="rId699" Type="http://schemas.openxmlformats.org/officeDocument/2006/relationships/hyperlink" Target="http://capitalsquare.in" TargetMode="External"/><Relationship Id="rId214" Type="http://schemas.openxmlformats.org/officeDocument/2006/relationships/hyperlink" Target="http://bimavima.com" TargetMode="External"/><Relationship Id="rId335" Type="http://schemas.openxmlformats.org/officeDocument/2006/relationships/hyperlink" Target="http://bimasolutions.com" TargetMode="External"/><Relationship Id="rId456" Type="http://schemas.openxmlformats.org/officeDocument/2006/relationships/hyperlink" Target="http://amco.bank.in" TargetMode="External"/><Relationship Id="rId577" Type="http://schemas.openxmlformats.org/officeDocument/2006/relationships/hyperlink" Target="http://smcinsurance.com" TargetMode="External"/><Relationship Id="rId698" Type="http://schemas.openxmlformats.org/officeDocument/2006/relationships/hyperlink" Target="http://mybimasansar.com" TargetMode="External"/><Relationship Id="rId219" Type="http://schemas.openxmlformats.org/officeDocument/2006/relationships/hyperlink" Target="http://beema1.com" TargetMode="External"/><Relationship Id="rId218" Type="http://schemas.openxmlformats.org/officeDocument/2006/relationships/hyperlink" Target="http://goinsureindia.com" TargetMode="External"/><Relationship Id="rId339" Type="http://schemas.openxmlformats.org/officeDocument/2006/relationships/hyperlink" Target="http://sparkadvisors.in" TargetMode="External"/><Relationship Id="rId330" Type="http://schemas.openxmlformats.org/officeDocument/2006/relationships/hyperlink" Target="http://shriramfinance.in" TargetMode="External"/><Relationship Id="rId451" Type="http://schemas.openxmlformats.org/officeDocument/2006/relationships/hyperlink" Target="http://pos.bajajcapitalinsurance.com" TargetMode="External"/><Relationship Id="rId572" Type="http://schemas.openxmlformats.org/officeDocument/2006/relationships/hyperlink" Target="http://arunayainsurance.in" TargetMode="External"/><Relationship Id="rId693" Type="http://schemas.openxmlformats.org/officeDocument/2006/relationships/hyperlink" Target="http://auminsurancebrokers.com" TargetMode="External"/><Relationship Id="rId450" Type="http://schemas.openxmlformats.org/officeDocument/2006/relationships/hyperlink" Target="http://geojit.com" TargetMode="External"/><Relationship Id="rId571" Type="http://schemas.openxmlformats.org/officeDocument/2006/relationships/hyperlink" Target="http://arunayainsurance.in" TargetMode="External"/><Relationship Id="rId692" Type="http://schemas.openxmlformats.org/officeDocument/2006/relationships/hyperlink" Target="http://religareonline.com" TargetMode="External"/><Relationship Id="rId570" Type="http://schemas.openxmlformats.org/officeDocument/2006/relationships/hyperlink" Target="http://njgroup.in" TargetMode="External"/><Relationship Id="rId691" Type="http://schemas.openxmlformats.org/officeDocument/2006/relationships/hyperlink" Target="http://religareonline.com" TargetMode="External"/><Relationship Id="rId690" Type="http://schemas.openxmlformats.org/officeDocument/2006/relationships/hyperlink" Target="http://nbinsurance.in" TargetMode="External"/><Relationship Id="rId213" Type="http://schemas.openxmlformats.org/officeDocument/2006/relationships/hyperlink" Target="http://bimavima.com" TargetMode="External"/><Relationship Id="rId334" Type="http://schemas.openxmlformats.org/officeDocument/2006/relationships/hyperlink" Target="http://wealthkartinsurance.com" TargetMode="External"/><Relationship Id="rId455" Type="http://schemas.openxmlformats.org/officeDocument/2006/relationships/hyperlink" Target="http://amco.bank.in" TargetMode="External"/><Relationship Id="rId576" Type="http://schemas.openxmlformats.org/officeDocument/2006/relationships/hyperlink" Target="http://trustline.in" TargetMode="External"/><Relationship Id="rId697" Type="http://schemas.openxmlformats.org/officeDocument/2006/relationships/hyperlink" Target="http://mybimasansar.com" TargetMode="External"/><Relationship Id="rId212" Type="http://schemas.openxmlformats.org/officeDocument/2006/relationships/hyperlink" Target="http://navnitinsurance.com" TargetMode="External"/><Relationship Id="rId333" Type="http://schemas.openxmlformats.org/officeDocument/2006/relationships/hyperlink" Target="http://wealthkartinsurance.com" TargetMode="External"/><Relationship Id="rId454" Type="http://schemas.openxmlformats.org/officeDocument/2006/relationships/hyperlink" Target="http://anandrathi.com" TargetMode="External"/><Relationship Id="rId575" Type="http://schemas.openxmlformats.org/officeDocument/2006/relationships/hyperlink" Target="http://trustline.in" TargetMode="External"/><Relationship Id="rId696" Type="http://schemas.openxmlformats.org/officeDocument/2006/relationships/hyperlink" Target="http://policynation.com" TargetMode="External"/><Relationship Id="rId211" Type="http://schemas.openxmlformats.org/officeDocument/2006/relationships/hyperlink" Target="http://navnitinsurance.com" TargetMode="External"/><Relationship Id="rId332" Type="http://schemas.openxmlformats.org/officeDocument/2006/relationships/hyperlink" Target="http://policysansar.com" TargetMode="External"/><Relationship Id="rId453" Type="http://schemas.openxmlformats.org/officeDocument/2006/relationships/hyperlink" Target="http://anandrathi.com" TargetMode="External"/><Relationship Id="rId574" Type="http://schemas.openxmlformats.org/officeDocument/2006/relationships/hyperlink" Target="http://livlonginsurance.com" TargetMode="External"/><Relationship Id="rId695" Type="http://schemas.openxmlformats.org/officeDocument/2006/relationships/hyperlink" Target="http://policynation.com" TargetMode="External"/><Relationship Id="rId210" Type="http://schemas.openxmlformats.org/officeDocument/2006/relationships/hyperlink" Target="http://familyraksha.com" TargetMode="External"/><Relationship Id="rId331" Type="http://schemas.openxmlformats.org/officeDocument/2006/relationships/hyperlink" Target="http://policysansar.com" TargetMode="External"/><Relationship Id="rId452" Type="http://schemas.openxmlformats.org/officeDocument/2006/relationships/hyperlink" Target="http://pos.bajajcapitalinsurance.com" TargetMode="External"/><Relationship Id="rId573" Type="http://schemas.openxmlformats.org/officeDocument/2006/relationships/hyperlink" Target="http://livlonginsurance.com" TargetMode="External"/><Relationship Id="rId694" Type="http://schemas.openxmlformats.org/officeDocument/2006/relationships/hyperlink" Target="http://auminsurancebrokers.com" TargetMode="External"/><Relationship Id="rId370" Type="http://schemas.openxmlformats.org/officeDocument/2006/relationships/hyperlink" Target="http://varashaktihousing.co.in" TargetMode="External"/><Relationship Id="rId491" Type="http://schemas.openxmlformats.org/officeDocument/2006/relationships/hyperlink" Target="http://haritainsurancebroking.com" TargetMode="External"/><Relationship Id="rId490" Type="http://schemas.openxmlformats.org/officeDocument/2006/relationships/hyperlink" Target="http://svojasinsurancebrokers.com" TargetMode="External"/><Relationship Id="rId129" Type="http://schemas.openxmlformats.org/officeDocument/2006/relationships/hyperlink" Target="http://finnovate.in" TargetMode="External"/><Relationship Id="rId128" Type="http://schemas.openxmlformats.org/officeDocument/2006/relationships/hyperlink" Target="http://tatacapital.com" TargetMode="External"/><Relationship Id="rId249" Type="http://schemas.openxmlformats.org/officeDocument/2006/relationships/hyperlink" Target="http://kmdastur.com" TargetMode="External"/><Relationship Id="rId127" Type="http://schemas.openxmlformats.org/officeDocument/2006/relationships/hyperlink" Target="http://tatacapital.com" TargetMode="External"/><Relationship Id="rId248" Type="http://schemas.openxmlformats.org/officeDocument/2006/relationships/hyperlink" Target="http://muthootmicrofin.com" TargetMode="External"/><Relationship Id="rId369" Type="http://schemas.openxmlformats.org/officeDocument/2006/relationships/hyperlink" Target="http://varashaktihousing.co.in" TargetMode="External"/><Relationship Id="rId126" Type="http://schemas.openxmlformats.org/officeDocument/2006/relationships/hyperlink" Target="http://advancelifeinsurance.in" TargetMode="External"/><Relationship Id="rId247" Type="http://schemas.openxmlformats.org/officeDocument/2006/relationships/hyperlink" Target="http://muthootmicrofin.com" TargetMode="External"/><Relationship Id="rId368" Type="http://schemas.openxmlformats.org/officeDocument/2006/relationships/hyperlink" Target="http://tnsc.bank.in" TargetMode="External"/><Relationship Id="rId489" Type="http://schemas.openxmlformats.org/officeDocument/2006/relationships/hyperlink" Target="http://svojasinsurancebrokers.com" TargetMode="External"/><Relationship Id="rId121" Type="http://schemas.openxmlformats.org/officeDocument/2006/relationships/hyperlink" Target="http://sixthsenseinsurance.com" TargetMode="External"/><Relationship Id="rId242" Type="http://schemas.openxmlformats.org/officeDocument/2006/relationships/hyperlink" Target="http://secureezy.com" TargetMode="External"/><Relationship Id="rId363" Type="http://schemas.openxmlformats.org/officeDocument/2006/relationships/hyperlink" Target="http://mahindrainsurancebrokers.com" TargetMode="External"/><Relationship Id="rId484" Type="http://schemas.openxmlformats.org/officeDocument/2006/relationships/hyperlink" Target="http://futurefirstindia.com" TargetMode="External"/><Relationship Id="rId120" Type="http://schemas.openxmlformats.org/officeDocument/2006/relationships/hyperlink" Target="http://cmsinsurancebrokers.com" TargetMode="External"/><Relationship Id="rId241" Type="http://schemas.openxmlformats.org/officeDocument/2006/relationships/hyperlink" Target="http://secureezy.com" TargetMode="External"/><Relationship Id="rId362" Type="http://schemas.openxmlformats.org/officeDocument/2006/relationships/hyperlink" Target="http://aimsinsurance.in" TargetMode="External"/><Relationship Id="rId483" Type="http://schemas.openxmlformats.org/officeDocument/2006/relationships/hyperlink" Target="http://futurefirstindia.com" TargetMode="External"/><Relationship Id="rId240" Type="http://schemas.openxmlformats.org/officeDocument/2006/relationships/hyperlink" Target="http://plumhq.com" TargetMode="External"/><Relationship Id="rId361" Type="http://schemas.openxmlformats.org/officeDocument/2006/relationships/hyperlink" Target="http://aimsinsurance.in" TargetMode="External"/><Relationship Id="rId482" Type="http://schemas.openxmlformats.org/officeDocument/2006/relationships/hyperlink" Target="http://paulmerchantsfin.com" TargetMode="External"/><Relationship Id="rId360" Type="http://schemas.openxmlformats.org/officeDocument/2006/relationships/hyperlink" Target="http://cri.co.in" TargetMode="External"/><Relationship Id="rId481" Type="http://schemas.openxmlformats.org/officeDocument/2006/relationships/hyperlink" Target="http://paulmerchantsfin.com" TargetMode="External"/><Relationship Id="rId125" Type="http://schemas.openxmlformats.org/officeDocument/2006/relationships/hyperlink" Target="http://advancelifeinsurance.in" TargetMode="External"/><Relationship Id="rId246" Type="http://schemas.openxmlformats.org/officeDocument/2006/relationships/hyperlink" Target="http://lifeandgeneral.com" TargetMode="External"/><Relationship Id="rId367" Type="http://schemas.openxmlformats.org/officeDocument/2006/relationships/hyperlink" Target="http://tnsc.bank.in" TargetMode="External"/><Relationship Id="rId488" Type="http://schemas.openxmlformats.org/officeDocument/2006/relationships/hyperlink" Target="http://trustner.in" TargetMode="External"/><Relationship Id="rId124" Type="http://schemas.openxmlformats.org/officeDocument/2006/relationships/hyperlink" Target="http://bimapunj.com" TargetMode="External"/><Relationship Id="rId245" Type="http://schemas.openxmlformats.org/officeDocument/2006/relationships/hyperlink" Target="http://lifeandgeneral.com" TargetMode="External"/><Relationship Id="rId366" Type="http://schemas.openxmlformats.org/officeDocument/2006/relationships/hyperlink" Target="http://profectuscapital.com" TargetMode="External"/><Relationship Id="rId487" Type="http://schemas.openxmlformats.org/officeDocument/2006/relationships/hyperlink" Target="http://trustner.in" TargetMode="External"/><Relationship Id="rId123" Type="http://schemas.openxmlformats.org/officeDocument/2006/relationships/hyperlink" Target="http://bimapunj.com" TargetMode="External"/><Relationship Id="rId244" Type="http://schemas.openxmlformats.org/officeDocument/2006/relationships/hyperlink" Target="http://takemyinsurance.com" TargetMode="External"/><Relationship Id="rId365" Type="http://schemas.openxmlformats.org/officeDocument/2006/relationships/hyperlink" Target="http://profectuscapital.com" TargetMode="External"/><Relationship Id="rId486" Type="http://schemas.openxmlformats.org/officeDocument/2006/relationships/hyperlink" Target="http://vimainsurance.com" TargetMode="External"/><Relationship Id="rId122" Type="http://schemas.openxmlformats.org/officeDocument/2006/relationships/hyperlink" Target="http://sixthsenseinsurance.com" TargetMode="External"/><Relationship Id="rId243" Type="http://schemas.openxmlformats.org/officeDocument/2006/relationships/hyperlink" Target="http://takemyinsurance.com" TargetMode="External"/><Relationship Id="rId364" Type="http://schemas.openxmlformats.org/officeDocument/2006/relationships/hyperlink" Target="http://mahindrainsurancebrokers.com" TargetMode="External"/><Relationship Id="rId485" Type="http://schemas.openxmlformats.org/officeDocument/2006/relationships/hyperlink" Target="http://vimainsurance.com" TargetMode="External"/><Relationship Id="rId95" Type="http://schemas.openxmlformats.org/officeDocument/2006/relationships/hyperlink" Target="http://fisdom.com" TargetMode="External"/><Relationship Id="rId94" Type="http://schemas.openxmlformats.org/officeDocument/2006/relationships/hyperlink" Target="http://vibeins.com" TargetMode="External"/><Relationship Id="rId97" Type="http://schemas.openxmlformats.org/officeDocument/2006/relationships/hyperlink" Target="http://srassociate.co.in" TargetMode="External"/><Relationship Id="rId96" Type="http://schemas.openxmlformats.org/officeDocument/2006/relationships/hyperlink" Target="http://fisdom.com" TargetMode="External"/><Relationship Id="rId99" Type="http://schemas.openxmlformats.org/officeDocument/2006/relationships/hyperlink" Target="http://m.assetplus.in" TargetMode="External"/><Relationship Id="rId480" Type="http://schemas.openxmlformats.org/officeDocument/2006/relationships/hyperlink" Target="http://rohahousing.com" TargetMode="External"/><Relationship Id="rId98" Type="http://schemas.openxmlformats.org/officeDocument/2006/relationships/hyperlink" Target="http://srassociate.co.in" TargetMode="External"/><Relationship Id="rId91" Type="http://schemas.openxmlformats.org/officeDocument/2006/relationships/hyperlink" Target="http://wealthy.in" TargetMode="External"/><Relationship Id="rId90" Type="http://schemas.openxmlformats.org/officeDocument/2006/relationships/hyperlink" Target="http://alacrityib.in" TargetMode="External"/><Relationship Id="rId93" Type="http://schemas.openxmlformats.org/officeDocument/2006/relationships/hyperlink" Target="http://vibeins.com" TargetMode="External"/><Relationship Id="rId92" Type="http://schemas.openxmlformats.org/officeDocument/2006/relationships/hyperlink" Target="http://wealthy.in" TargetMode="External"/><Relationship Id="rId118" Type="http://schemas.openxmlformats.org/officeDocument/2006/relationships/hyperlink" Target="http://centrum.co.in" TargetMode="External"/><Relationship Id="rId239" Type="http://schemas.openxmlformats.org/officeDocument/2006/relationships/hyperlink" Target="http://plumhq.com" TargetMode="External"/><Relationship Id="rId117" Type="http://schemas.openxmlformats.org/officeDocument/2006/relationships/hyperlink" Target="http://centrum.co.in" TargetMode="External"/><Relationship Id="rId238" Type="http://schemas.openxmlformats.org/officeDocument/2006/relationships/hyperlink" Target="http://edmeinsurance.com" TargetMode="External"/><Relationship Id="rId359" Type="http://schemas.openxmlformats.org/officeDocument/2006/relationships/hyperlink" Target="http://cri.co.in" TargetMode="External"/><Relationship Id="rId116" Type="http://schemas.openxmlformats.org/officeDocument/2006/relationships/hyperlink" Target="http://edifybrokers.com" TargetMode="External"/><Relationship Id="rId237" Type="http://schemas.openxmlformats.org/officeDocument/2006/relationships/hyperlink" Target="http://edmeinsurance.com" TargetMode="External"/><Relationship Id="rId358" Type="http://schemas.openxmlformats.org/officeDocument/2006/relationships/hyperlink" Target="http://3di.co.in" TargetMode="External"/><Relationship Id="rId479" Type="http://schemas.openxmlformats.org/officeDocument/2006/relationships/hyperlink" Target="http://rohahousing.com" TargetMode="External"/><Relationship Id="rId115" Type="http://schemas.openxmlformats.org/officeDocument/2006/relationships/hyperlink" Target="http://edifybrokers.com" TargetMode="External"/><Relationship Id="rId236" Type="http://schemas.openxmlformats.org/officeDocument/2006/relationships/hyperlink" Target="http://choiceindia.com" TargetMode="External"/><Relationship Id="rId357" Type="http://schemas.openxmlformats.org/officeDocument/2006/relationships/hyperlink" Target="http://3di.co.in" TargetMode="External"/><Relationship Id="rId478" Type="http://schemas.openxmlformats.org/officeDocument/2006/relationships/hyperlink" Target="http://advanceindiabrokers.com" TargetMode="External"/><Relationship Id="rId599" Type="http://schemas.openxmlformats.org/officeDocument/2006/relationships/hyperlink" Target="http://lmvinsurancebroking.com" TargetMode="External"/><Relationship Id="rId119" Type="http://schemas.openxmlformats.org/officeDocument/2006/relationships/hyperlink" Target="http://cmsinsurancebrokers.com" TargetMode="External"/><Relationship Id="rId110" Type="http://schemas.openxmlformats.org/officeDocument/2006/relationships/hyperlink" Target="http://bharatbhushaninsurance.com" TargetMode="External"/><Relationship Id="rId231" Type="http://schemas.openxmlformats.org/officeDocument/2006/relationships/hyperlink" Target="http://bimamandi.in" TargetMode="External"/><Relationship Id="rId352" Type="http://schemas.openxmlformats.org/officeDocument/2006/relationships/hyperlink" Target="http://libpl.com" TargetMode="External"/><Relationship Id="rId473" Type="http://schemas.openxmlformats.org/officeDocument/2006/relationships/hyperlink" Target="http://pcsinsurance.co.in" TargetMode="External"/><Relationship Id="rId594" Type="http://schemas.openxmlformats.org/officeDocument/2006/relationships/hyperlink" Target="http://purplepond.in" TargetMode="External"/><Relationship Id="rId230" Type="http://schemas.openxmlformats.org/officeDocument/2006/relationships/hyperlink" Target="http://pibinsurance.in" TargetMode="External"/><Relationship Id="rId351" Type="http://schemas.openxmlformats.org/officeDocument/2006/relationships/hyperlink" Target="http://libpl.com" TargetMode="External"/><Relationship Id="rId472" Type="http://schemas.openxmlformats.org/officeDocument/2006/relationships/hyperlink" Target="http://signaturebrokers.in" TargetMode="External"/><Relationship Id="rId593" Type="http://schemas.openxmlformats.org/officeDocument/2006/relationships/hyperlink" Target="http://purplepond.in" TargetMode="External"/><Relationship Id="rId350" Type="http://schemas.openxmlformats.org/officeDocument/2006/relationships/hyperlink" Target="http://onesure.co.in" TargetMode="External"/><Relationship Id="rId471" Type="http://schemas.openxmlformats.org/officeDocument/2006/relationships/hyperlink" Target="http://signaturebrokers.in" TargetMode="External"/><Relationship Id="rId592" Type="http://schemas.openxmlformats.org/officeDocument/2006/relationships/hyperlink" Target="http://capvirgo.co.in" TargetMode="External"/><Relationship Id="rId470" Type="http://schemas.openxmlformats.org/officeDocument/2006/relationships/hyperlink" Target="http://capalin.com" TargetMode="External"/><Relationship Id="rId591" Type="http://schemas.openxmlformats.org/officeDocument/2006/relationships/hyperlink" Target="http://capvirgo.co.in" TargetMode="External"/><Relationship Id="rId114" Type="http://schemas.openxmlformats.org/officeDocument/2006/relationships/hyperlink" Target="http://aceinsuranceindia.com" TargetMode="External"/><Relationship Id="rId235" Type="http://schemas.openxmlformats.org/officeDocument/2006/relationships/hyperlink" Target="http://choiceindia.com" TargetMode="External"/><Relationship Id="rId356" Type="http://schemas.openxmlformats.org/officeDocument/2006/relationships/hyperlink" Target="http://bimaguru.in" TargetMode="External"/><Relationship Id="rId477" Type="http://schemas.openxmlformats.org/officeDocument/2006/relationships/hyperlink" Target="http://advanceindiabrokers.com" TargetMode="External"/><Relationship Id="rId598" Type="http://schemas.openxmlformats.org/officeDocument/2006/relationships/hyperlink" Target="http://colourfundsinsure.com" TargetMode="External"/><Relationship Id="rId113" Type="http://schemas.openxmlformats.org/officeDocument/2006/relationships/hyperlink" Target="http://aceinsuranceindia.com" TargetMode="External"/><Relationship Id="rId234" Type="http://schemas.openxmlformats.org/officeDocument/2006/relationships/hyperlink" Target="http://bajajfinservdirect.in" TargetMode="External"/><Relationship Id="rId355" Type="http://schemas.openxmlformats.org/officeDocument/2006/relationships/hyperlink" Target="http://bimaguru.in" TargetMode="External"/><Relationship Id="rId476" Type="http://schemas.openxmlformats.org/officeDocument/2006/relationships/hyperlink" Target="http://beemaaa.com" TargetMode="External"/><Relationship Id="rId597" Type="http://schemas.openxmlformats.org/officeDocument/2006/relationships/hyperlink" Target="http://colourfundsinsure.com" TargetMode="External"/><Relationship Id="rId112" Type="http://schemas.openxmlformats.org/officeDocument/2006/relationships/hyperlink" Target="http://policyera.com" TargetMode="External"/><Relationship Id="rId233" Type="http://schemas.openxmlformats.org/officeDocument/2006/relationships/hyperlink" Target="http://bajajfinservdirect.in" TargetMode="External"/><Relationship Id="rId354" Type="http://schemas.openxmlformats.org/officeDocument/2006/relationships/hyperlink" Target="http://ashutoshfinserv.com" TargetMode="External"/><Relationship Id="rId475" Type="http://schemas.openxmlformats.org/officeDocument/2006/relationships/hyperlink" Target="http://beemaaa.com" TargetMode="External"/><Relationship Id="rId596" Type="http://schemas.openxmlformats.org/officeDocument/2006/relationships/hyperlink" Target="http://safetree.in" TargetMode="External"/><Relationship Id="rId111" Type="http://schemas.openxmlformats.org/officeDocument/2006/relationships/hyperlink" Target="http://policyera.com" TargetMode="External"/><Relationship Id="rId232" Type="http://schemas.openxmlformats.org/officeDocument/2006/relationships/hyperlink" Target="http://bimamandi.in" TargetMode="External"/><Relationship Id="rId353" Type="http://schemas.openxmlformats.org/officeDocument/2006/relationships/hyperlink" Target="http://ashutoshfinserv.com" TargetMode="External"/><Relationship Id="rId474" Type="http://schemas.openxmlformats.org/officeDocument/2006/relationships/hyperlink" Target="http://pcsinsurance.co.in" TargetMode="External"/><Relationship Id="rId595" Type="http://schemas.openxmlformats.org/officeDocument/2006/relationships/hyperlink" Target="http://safetree.in" TargetMode="External"/><Relationship Id="rId305" Type="http://schemas.openxmlformats.org/officeDocument/2006/relationships/hyperlink" Target="http://axis.bank.in" TargetMode="External"/><Relationship Id="rId426" Type="http://schemas.openxmlformats.org/officeDocument/2006/relationships/hyperlink" Target="http://purpleumbrella.in" TargetMode="External"/><Relationship Id="rId547" Type="http://schemas.openxmlformats.org/officeDocument/2006/relationships/hyperlink" Target="http://bluechipindia.co.in" TargetMode="External"/><Relationship Id="rId668" Type="http://schemas.openxmlformats.org/officeDocument/2006/relationships/hyperlink" Target="http://sushilfinance.com" TargetMode="External"/><Relationship Id="rId304" Type="http://schemas.openxmlformats.org/officeDocument/2006/relationships/hyperlink" Target="http://kausalyam.com" TargetMode="External"/><Relationship Id="rId425" Type="http://schemas.openxmlformats.org/officeDocument/2006/relationships/hyperlink" Target="http://purpleumbrella.in" TargetMode="External"/><Relationship Id="rId546" Type="http://schemas.openxmlformats.org/officeDocument/2006/relationships/hyperlink" Target="http://zaubacorp.com" TargetMode="External"/><Relationship Id="rId667" Type="http://schemas.openxmlformats.org/officeDocument/2006/relationships/hyperlink" Target="http://sushilfinance.com" TargetMode="External"/><Relationship Id="rId303" Type="http://schemas.openxmlformats.org/officeDocument/2006/relationships/hyperlink" Target="http://kausalyam.com" TargetMode="External"/><Relationship Id="rId424" Type="http://schemas.openxmlformats.org/officeDocument/2006/relationships/hyperlink" Target="http://kaninsure.com" TargetMode="External"/><Relationship Id="rId545" Type="http://schemas.openxmlformats.org/officeDocument/2006/relationships/hyperlink" Target="http://zaubacorp.com" TargetMode="External"/><Relationship Id="rId666" Type="http://schemas.openxmlformats.org/officeDocument/2006/relationships/hyperlink" Target="http://dishainsurance.com" TargetMode="External"/><Relationship Id="rId302" Type="http://schemas.openxmlformats.org/officeDocument/2006/relationships/hyperlink" Target="http://raghnall.co.in" TargetMode="External"/><Relationship Id="rId423" Type="http://schemas.openxmlformats.org/officeDocument/2006/relationships/hyperlink" Target="http://kaninsure.com" TargetMode="External"/><Relationship Id="rId544" Type="http://schemas.openxmlformats.org/officeDocument/2006/relationships/hyperlink" Target="http://bajajcapitalinsurance.com" TargetMode="External"/><Relationship Id="rId665" Type="http://schemas.openxmlformats.org/officeDocument/2006/relationships/hyperlink" Target="http://dishainsurance.com" TargetMode="External"/><Relationship Id="rId309" Type="http://schemas.openxmlformats.org/officeDocument/2006/relationships/hyperlink" Target="http://idfcfirst.bank.in" TargetMode="External"/><Relationship Id="rId308" Type="http://schemas.openxmlformats.org/officeDocument/2006/relationships/hyperlink" Target="http://rbl.bank.in" TargetMode="External"/><Relationship Id="rId429" Type="http://schemas.openxmlformats.org/officeDocument/2006/relationships/hyperlink" Target="http://cholamandalam.com" TargetMode="External"/><Relationship Id="rId307" Type="http://schemas.openxmlformats.org/officeDocument/2006/relationships/hyperlink" Target="http://rbl.bank.in" TargetMode="External"/><Relationship Id="rId428" Type="http://schemas.openxmlformats.org/officeDocument/2006/relationships/hyperlink" Target="http://sgrlimited.in" TargetMode="External"/><Relationship Id="rId549" Type="http://schemas.openxmlformats.org/officeDocument/2006/relationships/hyperlink" Target="http://benefitme.co.in" TargetMode="External"/><Relationship Id="rId306" Type="http://schemas.openxmlformats.org/officeDocument/2006/relationships/hyperlink" Target="http://axis.bank.in" TargetMode="External"/><Relationship Id="rId427" Type="http://schemas.openxmlformats.org/officeDocument/2006/relationships/hyperlink" Target="http://sgrlimited.in" TargetMode="External"/><Relationship Id="rId548" Type="http://schemas.openxmlformats.org/officeDocument/2006/relationships/hyperlink" Target="http://bluechipindia.co.in" TargetMode="External"/><Relationship Id="rId669" Type="http://schemas.openxmlformats.org/officeDocument/2006/relationships/hyperlink" Target="http://fundtreeindia.com" TargetMode="External"/><Relationship Id="rId660" Type="http://schemas.openxmlformats.org/officeDocument/2006/relationships/hyperlink" Target="http://unisoninsurance.net" TargetMode="External"/><Relationship Id="rId301" Type="http://schemas.openxmlformats.org/officeDocument/2006/relationships/hyperlink" Target="http://raghnall.co.in" TargetMode="External"/><Relationship Id="rId422" Type="http://schemas.openxmlformats.org/officeDocument/2006/relationships/hyperlink" Target="http://policicue.com" TargetMode="External"/><Relationship Id="rId543" Type="http://schemas.openxmlformats.org/officeDocument/2006/relationships/hyperlink" Target="http://bajajcapitalinsurance.com" TargetMode="External"/><Relationship Id="rId664" Type="http://schemas.openxmlformats.org/officeDocument/2006/relationships/hyperlink" Target="http://ivainsurance.com" TargetMode="External"/><Relationship Id="rId300" Type="http://schemas.openxmlformats.org/officeDocument/2006/relationships/hyperlink" Target="http://ntrust.co.in" TargetMode="External"/><Relationship Id="rId421" Type="http://schemas.openxmlformats.org/officeDocument/2006/relationships/hyperlink" Target="http://policicue.com" TargetMode="External"/><Relationship Id="rId542" Type="http://schemas.openxmlformats.org/officeDocument/2006/relationships/hyperlink" Target="http://motilaloswal.com" TargetMode="External"/><Relationship Id="rId663" Type="http://schemas.openxmlformats.org/officeDocument/2006/relationships/hyperlink" Target="http://ivainsurance.com" TargetMode="External"/><Relationship Id="rId420" Type="http://schemas.openxmlformats.org/officeDocument/2006/relationships/hyperlink" Target="http://bluebellsinsurancebroking.com" TargetMode="External"/><Relationship Id="rId541" Type="http://schemas.openxmlformats.org/officeDocument/2006/relationships/hyperlink" Target="http://motilaloswal.com" TargetMode="External"/><Relationship Id="rId662" Type="http://schemas.openxmlformats.org/officeDocument/2006/relationships/hyperlink" Target="http://yellainsure.com" TargetMode="External"/><Relationship Id="rId540" Type="http://schemas.openxmlformats.org/officeDocument/2006/relationships/hyperlink" Target="http://mahagramin.in" TargetMode="External"/><Relationship Id="rId661" Type="http://schemas.openxmlformats.org/officeDocument/2006/relationships/hyperlink" Target="http://yellainsure.com" TargetMode="External"/><Relationship Id="rId415" Type="http://schemas.openxmlformats.org/officeDocument/2006/relationships/hyperlink" Target="http://rminsurance.in" TargetMode="External"/><Relationship Id="rId536" Type="http://schemas.openxmlformats.org/officeDocument/2006/relationships/hyperlink" Target="http://adityabirlacapital.com" TargetMode="External"/><Relationship Id="rId657" Type="http://schemas.openxmlformats.org/officeDocument/2006/relationships/hyperlink" Target="http://qian.co.in" TargetMode="External"/><Relationship Id="rId414" Type="http://schemas.openxmlformats.org/officeDocument/2006/relationships/hyperlink" Target="http://mpinsurance.in" TargetMode="External"/><Relationship Id="rId535" Type="http://schemas.openxmlformats.org/officeDocument/2006/relationships/hyperlink" Target="http://adityabirlacapital.com" TargetMode="External"/><Relationship Id="rId656" Type="http://schemas.openxmlformats.org/officeDocument/2006/relationships/hyperlink" Target="http://aviainsurance.in" TargetMode="External"/><Relationship Id="rId413" Type="http://schemas.openxmlformats.org/officeDocument/2006/relationships/hyperlink" Target="http://mpinsurance.in" TargetMode="External"/><Relationship Id="rId534" Type="http://schemas.openxmlformats.org/officeDocument/2006/relationships/hyperlink" Target="http://arhamshare.com" TargetMode="External"/><Relationship Id="rId655" Type="http://schemas.openxmlformats.org/officeDocument/2006/relationships/hyperlink" Target="http://aviainsurance.in" TargetMode="External"/><Relationship Id="rId412" Type="http://schemas.openxmlformats.org/officeDocument/2006/relationships/hyperlink" Target="http://arcssindia.com" TargetMode="External"/><Relationship Id="rId533" Type="http://schemas.openxmlformats.org/officeDocument/2006/relationships/hyperlink" Target="http://arhamshare.com" TargetMode="External"/><Relationship Id="rId654" Type="http://schemas.openxmlformats.org/officeDocument/2006/relationships/hyperlink" Target="http://insurejoy.com" TargetMode="External"/><Relationship Id="rId419" Type="http://schemas.openxmlformats.org/officeDocument/2006/relationships/hyperlink" Target="http://bluebellsinsurancebroking.com" TargetMode="External"/><Relationship Id="rId418" Type="http://schemas.openxmlformats.org/officeDocument/2006/relationships/hyperlink" Target="http://pulsecue.in" TargetMode="External"/><Relationship Id="rId539" Type="http://schemas.openxmlformats.org/officeDocument/2006/relationships/hyperlink" Target="http://mahagramin.in" TargetMode="External"/><Relationship Id="rId417" Type="http://schemas.openxmlformats.org/officeDocument/2006/relationships/hyperlink" Target="http://pulsecue.in" TargetMode="External"/><Relationship Id="rId538" Type="http://schemas.openxmlformats.org/officeDocument/2006/relationships/hyperlink" Target="http://askfinancials.com" TargetMode="External"/><Relationship Id="rId659" Type="http://schemas.openxmlformats.org/officeDocument/2006/relationships/hyperlink" Target="http://unisoninsurance.net" TargetMode="External"/><Relationship Id="rId416" Type="http://schemas.openxmlformats.org/officeDocument/2006/relationships/hyperlink" Target="http://rminsurance.in" TargetMode="External"/><Relationship Id="rId537" Type="http://schemas.openxmlformats.org/officeDocument/2006/relationships/hyperlink" Target="http://askfinancials.com" TargetMode="External"/><Relationship Id="rId658" Type="http://schemas.openxmlformats.org/officeDocument/2006/relationships/hyperlink" Target="http://qian.co.in" TargetMode="External"/><Relationship Id="rId411" Type="http://schemas.openxmlformats.org/officeDocument/2006/relationships/hyperlink" Target="http://arcssindia.com" TargetMode="External"/><Relationship Id="rId532" Type="http://schemas.openxmlformats.org/officeDocument/2006/relationships/hyperlink" Target="http://aliceblueonline.com" TargetMode="External"/><Relationship Id="rId653" Type="http://schemas.openxmlformats.org/officeDocument/2006/relationships/hyperlink" Target="http://insurejoy.com" TargetMode="External"/><Relationship Id="rId410" Type="http://schemas.openxmlformats.org/officeDocument/2006/relationships/hyperlink" Target="http://oslgroup.co.in" TargetMode="External"/><Relationship Id="rId531" Type="http://schemas.openxmlformats.org/officeDocument/2006/relationships/hyperlink" Target="http://aliceblueonline.com" TargetMode="External"/><Relationship Id="rId652" Type="http://schemas.openxmlformats.org/officeDocument/2006/relationships/hyperlink" Target="http://insureefficient.com" TargetMode="External"/><Relationship Id="rId530" Type="http://schemas.openxmlformats.org/officeDocument/2006/relationships/hyperlink" Target="http://altumcredo.co.in" TargetMode="External"/><Relationship Id="rId651" Type="http://schemas.openxmlformats.org/officeDocument/2006/relationships/hyperlink" Target="http://insureefficient.com" TargetMode="External"/><Relationship Id="rId650" Type="http://schemas.openxmlformats.org/officeDocument/2006/relationships/hyperlink" Target="http://nuvamawealth.com" TargetMode="External"/><Relationship Id="rId206" Type="http://schemas.openxmlformats.org/officeDocument/2006/relationships/hyperlink" Target="http://ujjivansfb.bank.in" TargetMode="External"/><Relationship Id="rId327" Type="http://schemas.openxmlformats.org/officeDocument/2006/relationships/hyperlink" Target="http://homefinance.adityabirlacapital.com" TargetMode="External"/><Relationship Id="rId448" Type="http://schemas.openxmlformats.org/officeDocument/2006/relationships/hyperlink" Target="http://globalfinsol.in" TargetMode="External"/><Relationship Id="rId569" Type="http://schemas.openxmlformats.org/officeDocument/2006/relationships/hyperlink" Target="http://njgroup.in" TargetMode="External"/><Relationship Id="rId205" Type="http://schemas.openxmlformats.org/officeDocument/2006/relationships/hyperlink" Target="http://ujjivansfb.bank.in" TargetMode="External"/><Relationship Id="rId326" Type="http://schemas.openxmlformats.org/officeDocument/2006/relationships/hyperlink" Target="http://epsilonmoney.com" TargetMode="External"/><Relationship Id="rId447" Type="http://schemas.openxmlformats.org/officeDocument/2006/relationships/hyperlink" Target="http://globalfinsol.in" TargetMode="External"/><Relationship Id="rId568" Type="http://schemas.openxmlformats.org/officeDocument/2006/relationships/hyperlink" Target="http://beacon.co.in" TargetMode="External"/><Relationship Id="rId689" Type="http://schemas.openxmlformats.org/officeDocument/2006/relationships/hyperlink" Target="http://nbinsurance.in" TargetMode="External"/><Relationship Id="rId204" Type="http://schemas.openxmlformats.org/officeDocument/2006/relationships/hyperlink" Target="http://federal.bank.in" TargetMode="External"/><Relationship Id="rId325" Type="http://schemas.openxmlformats.org/officeDocument/2006/relationships/hyperlink" Target="http://epsilonmoney.com" TargetMode="External"/><Relationship Id="rId446" Type="http://schemas.openxmlformats.org/officeDocument/2006/relationships/hyperlink" Target="http://finhaat.com" TargetMode="External"/><Relationship Id="rId567" Type="http://schemas.openxmlformats.org/officeDocument/2006/relationships/hyperlink" Target="http://beacon.co.in" TargetMode="External"/><Relationship Id="rId688" Type="http://schemas.openxmlformats.org/officeDocument/2006/relationships/hyperlink" Target="http://novoinsure.com" TargetMode="External"/><Relationship Id="rId203" Type="http://schemas.openxmlformats.org/officeDocument/2006/relationships/hyperlink" Target="http://federal.bank.in" TargetMode="External"/><Relationship Id="rId324" Type="http://schemas.openxmlformats.org/officeDocument/2006/relationships/hyperlink" Target="http://prameshwealth.com" TargetMode="External"/><Relationship Id="rId445" Type="http://schemas.openxmlformats.org/officeDocument/2006/relationships/hyperlink" Target="http://finhaat.com" TargetMode="External"/><Relationship Id="rId566" Type="http://schemas.openxmlformats.org/officeDocument/2006/relationships/hyperlink" Target="http://prathamaupbank.com" TargetMode="External"/><Relationship Id="rId687" Type="http://schemas.openxmlformats.org/officeDocument/2006/relationships/hyperlink" Target="http://novoinsure.com" TargetMode="External"/><Relationship Id="rId209" Type="http://schemas.openxmlformats.org/officeDocument/2006/relationships/hyperlink" Target="http://familyraksha.com" TargetMode="External"/><Relationship Id="rId208" Type="http://schemas.openxmlformats.org/officeDocument/2006/relationships/hyperlink" Target="http://nkgsb-bank.com" TargetMode="External"/><Relationship Id="rId329" Type="http://schemas.openxmlformats.org/officeDocument/2006/relationships/hyperlink" Target="http://shriramfinance.in" TargetMode="External"/><Relationship Id="rId207" Type="http://schemas.openxmlformats.org/officeDocument/2006/relationships/hyperlink" Target="http://nkgsb-bank.com" TargetMode="External"/><Relationship Id="rId328" Type="http://schemas.openxmlformats.org/officeDocument/2006/relationships/hyperlink" Target="http://homefinance.adityabirlacapital.com" TargetMode="External"/><Relationship Id="rId449" Type="http://schemas.openxmlformats.org/officeDocument/2006/relationships/hyperlink" Target="http://geojit.com" TargetMode="External"/><Relationship Id="rId440" Type="http://schemas.openxmlformats.org/officeDocument/2006/relationships/hyperlink" Target="http://insta-policy.com" TargetMode="External"/><Relationship Id="rId561" Type="http://schemas.openxmlformats.org/officeDocument/2006/relationships/hyperlink" Target="http://allianceinsurance.in" TargetMode="External"/><Relationship Id="rId682" Type="http://schemas.openxmlformats.org/officeDocument/2006/relationships/hyperlink" Target="http://tvsinsurance.in" TargetMode="External"/><Relationship Id="rId560" Type="http://schemas.openxmlformats.org/officeDocument/2006/relationships/hyperlink" Target="http://muthootinsurancebrokers.com" TargetMode="External"/><Relationship Id="rId681" Type="http://schemas.openxmlformats.org/officeDocument/2006/relationships/hyperlink" Target="http://tvsinsurance.in" TargetMode="External"/><Relationship Id="rId680" Type="http://schemas.openxmlformats.org/officeDocument/2006/relationships/hyperlink" Target="http://raintreeinsurance.in" TargetMode="External"/><Relationship Id="rId202" Type="http://schemas.openxmlformats.org/officeDocument/2006/relationships/hyperlink" Target="http://southindianbank.bank.in" TargetMode="External"/><Relationship Id="rId323" Type="http://schemas.openxmlformats.org/officeDocument/2006/relationships/hyperlink" Target="http://prameshwealth.com" TargetMode="External"/><Relationship Id="rId444" Type="http://schemas.openxmlformats.org/officeDocument/2006/relationships/hyperlink" Target="http://gibl.in" TargetMode="External"/><Relationship Id="rId565" Type="http://schemas.openxmlformats.org/officeDocument/2006/relationships/hyperlink" Target="http://prathamaupbank.com" TargetMode="External"/><Relationship Id="rId686" Type="http://schemas.openxmlformats.org/officeDocument/2006/relationships/hyperlink" Target="http://zopperinsurance.com" TargetMode="External"/><Relationship Id="rId201" Type="http://schemas.openxmlformats.org/officeDocument/2006/relationships/hyperlink" Target="http://southindianbank.bank.in" TargetMode="External"/><Relationship Id="rId322" Type="http://schemas.openxmlformats.org/officeDocument/2006/relationships/hyperlink" Target="http://zebuetrade.com" TargetMode="External"/><Relationship Id="rId443" Type="http://schemas.openxmlformats.org/officeDocument/2006/relationships/hyperlink" Target="http://gibl.in" TargetMode="External"/><Relationship Id="rId564" Type="http://schemas.openxmlformats.org/officeDocument/2006/relationships/hyperlink" Target="http://probusinsurance.com" TargetMode="External"/><Relationship Id="rId685" Type="http://schemas.openxmlformats.org/officeDocument/2006/relationships/hyperlink" Target="http://zopperinsurance.com" TargetMode="External"/><Relationship Id="rId200" Type="http://schemas.openxmlformats.org/officeDocument/2006/relationships/hyperlink" Target="http://au.bank.in" TargetMode="External"/><Relationship Id="rId321" Type="http://schemas.openxmlformats.org/officeDocument/2006/relationships/hyperlink" Target="http://zebuetrade.com" TargetMode="External"/><Relationship Id="rId442" Type="http://schemas.openxmlformats.org/officeDocument/2006/relationships/hyperlink" Target="http://spsinsurance.in" TargetMode="External"/><Relationship Id="rId563" Type="http://schemas.openxmlformats.org/officeDocument/2006/relationships/hyperlink" Target="http://probusinsurance.com" TargetMode="External"/><Relationship Id="rId684" Type="http://schemas.openxmlformats.org/officeDocument/2006/relationships/hyperlink" Target="http://wisdominsurance.in" TargetMode="External"/><Relationship Id="rId320" Type="http://schemas.openxmlformats.org/officeDocument/2006/relationships/hyperlink" Target="http://manappuram.com" TargetMode="External"/><Relationship Id="rId441" Type="http://schemas.openxmlformats.org/officeDocument/2006/relationships/hyperlink" Target="http://spsinsurance.in" TargetMode="External"/><Relationship Id="rId562" Type="http://schemas.openxmlformats.org/officeDocument/2006/relationships/hyperlink" Target="http://allianceinsurance.in" TargetMode="External"/><Relationship Id="rId683" Type="http://schemas.openxmlformats.org/officeDocument/2006/relationships/hyperlink" Target="http://wisdominsurance.in" TargetMode="External"/><Relationship Id="rId316" Type="http://schemas.openxmlformats.org/officeDocument/2006/relationships/hyperlink" Target="http://jkb.bank.in" TargetMode="External"/><Relationship Id="rId437" Type="http://schemas.openxmlformats.org/officeDocument/2006/relationships/hyperlink" Target="http://saralinsurancebroking.com" TargetMode="External"/><Relationship Id="rId558" Type="http://schemas.openxmlformats.org/officeDocument/2006/relationships/hyperlink" Target="http://vizzainsurance.com" TargetMode="External"/><Relationship Id="rId679" Type="http://schemas.openxmlformats.org/officeDocument/2006/relationships/hyperlink" Target="http://raintreeinsurance.in" TargetMode="External"/><Relationship Id="rId315" Type="http://schemas.openxmlformats.org/officeDocument/2006/relationships/hyperlink" Target="http://jkb.bank.in" TargetMode="External"/><Relationship Id="rId436" Type="http://schemas.openxmlformats.org/officeDocument/2006/relationships/hyperlink" Target="http://migooinsurance.com" TargetMode="External"/><Relationship Id="rId557" Type="http://schemas.openxmlformats.org/officeDocument/2006/relationships/hyperlink" Target="http://vizzainsurance.com" TargetMode="External"/><Relationship Id="rId678" Type="http://schemas.openxmlformats.org/officeDocument/2006/relationships/hyperlink" Target="http://vagmi.org" TargetMode="External"/><Relationship Id="rId314" Type="http://schemas.openxmlformats.org/officeDocument/2006/relationships/hyperlink" Target="http://punjabandsind.bank.in" TargetMode="External"/><Relationship Id="rId435" Type="http://schemas.openxmlformats.org/officeDocument/2006/relationships/hyperlink" Target="http://migooinsurance.com" TargetMode="External"/><Relationship Id="rId556" Type="http://schemas.openxmlformats.org/officeDocument/2006/relationships/hyperlink" Target="http://turtlemintinsurance.com" TargetMode="External"/><Relationship Id="rId677" Type="http://schemas.openxmlformats.org/officeDocument/2006/relationships/hyperlink" Target="http://vagmi.org" TargetMode="External"/><Relationship Id="rId313" Type="http://schemas.openxmlformats.org/officeDocument/2006/relationships/hyperlink" Target="http://punjabandsind.bank.in" TargetMode="External"/><Relationship Id="rId434" Type="http://schemas.openxmlformats.org/officeDocument/2006/relationships/hyperlink" Target="http://policygrace.com" TargetMode="External"/><Relationship Id="rId555" Type="http://schemas.openxmlformats.org/officeDocument/2006/relationships/hyperlink" Target="http://turtlemintinsurance.com" TargetMode="External"/><Relationship Id="rId676" Type="http://schemas.openxmlformats.org/officeDocument/2006/relationships/hyperlink" Target="http://alete.in" TargetMode="External"/><Relationship Id="rId319" Type="http://schemas.openxmlformats.org/officeDocument/2006/relationships/hyperlink" Target="http://manappuram.com" TargetMode="External"/><Relationship Id="rId318" Type="http://schemas.openxmlformats.org/officeDocument/2006/relationships/hyperlink" Target="http://yes.bank.in" TargetMode="External"/><Relationship Id="rId439" Type="http://schemas.openxmlformats.org/officeDocument/2006/relationships/hyperlink" Target="http://insta-policy.com" TargetMode="External"/><Relationship Id="rId317" Type="http://schemas.openxmlformats.org/officeDocument/2006/relationships/hyperlink" Target="http://yes.bank.in" TargetMode="External"/><Relationship Id="rId438" Type="http://schemas.openxmlformats.org/officeDocument/2006/relationships/hyperlink" Target="http://saralinsurancebroking.com" TargetMode="External"/><Relationship Id="rId559" Type="http://schemas.openxmlformats.org/officeDocument/2006/relationships/hyperlink" Target="http://muthootinsurancebrokers.com" TargetMode="External"/><Relationship Id="rId550" Type="http://schemas.openxmlformats.org/officeDocument/2006/relationships/hyperlink" Target="http://benefitme.co.in" TargetMode="External"/><Relationship Id="rId671" Type="http://schemas.openxmlformats.org/officeDocument/2006/relationships/hyperlink" Target="http://samavesh.in" TargetMode="External"/><Relationship Id="rId670" Type="http://schemas.openxmlformats.org/officeDocument/2006/relationships/hyperlink" Target="http://fundtreeindia.com" TargetMode="External"/><Relationship Id="rId312" Type="http://schemas.openxmlformats.org/officeDocument/2006/relationships/hyperlink" Target="http://dbs.bank.in" TargetMode="External"/><Relationship Id="rId433" Type="http://schemas.openxmlformats.org/officeDocument/2006/relationships/hyperlink" Target="http://policygrace.com" TargetMode="External"/><Relationship Id="rId554" Type="http://schemas.openxmlformats.org/officeDocument/2006/relationships/hyperlink" Target="http://salasarservices.com" TargetMode="External"/><Relationship Id="rId675" Type="http://schemas.openxmlformats.org/officeDocument/2006/relationships/hyperlink" Target="http://alete.in" TargetMode="External"/><Relationship Id="rId311" Type="http://schemas.openxmlformats.org/officeDocument/2006/relationships/hyperlink" Target="http://dbs.bank.in" TargetMode="External"/><Relationship Id="rId432" Type="http://schemas.openxmlformats.org/officeDocument/2006/relationships/hyperlink" Target="http://wmgwealth.in" TargetMode="External"/><Relationship Id="rId553" Type="http://schemas.openxmlformats.org/officeDocument/2006/relationships/hyperlink" Target="http://salasarservices.com" TargetMode="External"/><Relationship Id="rId674" Type="http://schemas.openxmlformats.org/officeDocument/2006/relationships/hyperlink" Target="http://apeejaygroup.com" TargetMode="External"/><Relationship Id="rId310" Type="http://schemas.openxmlformats.org/officeDocument/2006/relationships/hyperlink" Target="http://idfcfirst.bank.in" TargetMode="External"/><Relationship Id="rId431" Type="http://schemas.openxmlformats.org/officeDocument/2006/relationships/hyperlink" Target="http://wmgwealth.in" TargetMode="External"/><Relationship Id="rId552" Type="http://schemas.openxmlformats.org/officeDocument/2006/relationships/hyperlink" Target="http://anandrathiinsurance.com" TargetMode="External"/><Relationship Id="rId673" Type="http://schemas.openxmlformats.org/officeDocument/2006/relationships/hyperlink" Target="http://apeejaygroup.com" TargetMode="External"/><Relationship Id="rId430" Type="http://schemas.openxmlformats.org/officeDocument/2006/relationships/hyperlink" Target="http://cholamandalam.com" TargetMode="External"/><Relationship Id="rId551" Type="http://schemas.openxmlformats.org/officeDocument/2006/relationships/hyperlink" Target="http://anandrathiinsurance.com" TargetMode="External"/><Relationship Id="rId672" Type="http://schemas.openxmlformats.org/officeDocument/2006/relationships/hyperlink" Target="http://samavesh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0"/>
    <col customWidth="1" min="3" max="3" width="61.13"/>
    <col customWidth="1" min="7" max="7" width="14.8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6"/>
      <c r="J1" s="6"/>
    </row>
    <row r="2">
      <c r="A2" s="7" t="s">
        <v>8</v>
      </c>
      <c r="B2" s="8" t="s">
        <v>9</v>
      </c>
      <c r="C2" s="9" t="s">
        <v>10</v>
      </c>
      <c r="D2" s="3" t="s">
        <v>11</v>
      </c>
      <c r="E2" s="3" t="s">
        <v>12</v>
      </c>
      <c r="F2" s="10" t="s">
        <v>13</v>
      </c>
      <c r="G2" s="11"/>
      <c r="H2" s="11"/>
      <c r="I2" s="6"/>
      <c r="J2" s="6"/>
    </row>
    <row r="3">
      <c r="A3" s="7" t="s">
        <v>14</v>
      </c>
      <c r="B3" s="8">
        <v>2.000002988E9</v>
      </c>
      <c r="C3" s="9" t="s">
        <v>15</v>
      </c>
      <c r="D3" s="3" t="s">
        <v>16</v>
      </c>
      <c r="E3" s="3" t="s">
        <v>12</v>
      </c>
      <c r="F3" s="12" t="s">
        <v>17</v>
      </c>
      <c r="G3" s="11"/>
      <c r="H3" s="11"/>
      <c r="I3" s="6"/>
      <c r="J3" s="6"/>
    </row>
    <row r="4">
      <c r="A4" s="7" t="s">
        <v>14</v>
      </c>
      <c r="B4" s="8">
        <v>2.000003082E9</v>
      </c>
      <c r="C4" s="9" t="s">
        <v>18</v>
      </c>
      <c r="D4" s="3" t="s">
        <v>11</v>
      </c>
      <c r="E4" s="3" t="s">
        <v>12</v>
      </c>
      <c r="F4" s="12" t="s">
        <v>19</v>
      </c>
      <c r="G4" s="11"/>
      <c r="H4" s="11"/>
      <c r="I4" s="6"/>
      <c r="J4" s="6"/>
    </row>
    <row r="5">
      <c r="A5" s="7" t="s">
        <v>14</v>
      </c>
      <c r="B5" s="8">
        <v>2.000050512E9</v>
      </c>
      <c r="C5" s="9" t="s">
        <v>20</v>
      </c>
      <c r="D5" s="3" t="s">
        <v>11</v>
      </c>
      <c r="E5" s="3" t="s">
        <v>12</v>
      </c>
      <c r="F5" s="12" t="s">
        <v>21</v>
      </c>
      <c r="G5" s="11"/>
      <c r="H5" s="13"/>
      <c r="I5" s="6"/>
      <c r="J5" s="6"/>
    </row>
    <row r="6">
      <c r="A6" s="7" t="s">
        <v>14</v>
      </c>
      <c r="B6" s="8">
        <v>2.000050516E9</v>
      </c>
      <c r="C6" s="9" t="s">
        <v>22</v>
      </c>
      <c r="D6" s="3" t="s">
        <v>11</v>
      </c>
      <c r="E6" s="3" t="s">
        <v>12</v>
      </c>
      <c r="F6" s="12" t="s">
        <v>23</v>
      </c>
      <c r="G6" s="11"/>
      <c r="H6" s="13"/>
      <c r="I6" s="6"/>
      <c r="J6" s="6"/>
    </row>
    <row r="7">
      <c r="A7" s="7" t="s">
        <v>14</v>
      </c>
      <c r="B7" s="8">
        <v>2.000050537E9</v>
      </c>
      <c r="C7" s="9" t="s">
        <v>24</v>
      </c>
      <c r="D7" s="3" t="s">
        <v>11</v>
      </c>
      <c r="E7" s="3" t="s">
        <v>12</v>
      </c>
      <c r="F7" s="12" t="s">
        <v>25</v>
      </c>
      <c r="G7" s="11"/>
      <c r="H7" s="11"/>
      <c r="I7" s="6"/>
      <c r="J7" s="6"/>
    </row>
    <row r="8">
      <c r="A8" s="7" t="s">
        <v>14</v>
      </c>
      <c r="B8" s="8">
        <v>2.000050513E9</v>
      </c>
      <c r="C8" s="7" t="s">
        <v>26</v>
      </c>
      <c r="D8" s="3" t="s">
        <v>11</v>
      </c>
      <c r="E8" s="3" t="s">
        <v>27</v>
      </c>
      <c r="F8" s="12" t="s">
        <v>28</v>
      </c>
      <c r="G8" s="11"/>
      <c r="H8" s="11"/>
      <c r="I8" s="6"/>
      <c r="J8" s="6"/>
    </row>
    <row r="9">
      <c r="A9" s="7" t="s">
        <v>14</v>
      </c>
      <c r="B9" s="8">
        <v>7.000004529E9</v>
      </c>
      <c r="C9" s="7" t="s">
        <v>29</v>
      </c>
      <c r="D9" s="3" t="s">
        <v>11</v>
      </c>
      <c r="E9" s="3" t="s">
        <v>30</v>
      </c>
      <c r="F9" s="10" t="s">
        <v>13</v>
      </c>
      <c r="G9" s="11"/>
      <c r="H9" s="11"/>
      <c r="I9" s="6"/>
      <c r="J9" s="6"/>
    </row>
    <row r="10">
      <c r="A10" s="7" t="s">
        <v>14</v>
      </c>
      <c r="B10" s="8">
        <v>7.00070055E9</v>
      </c>
      <c r="C10" s="7" t="s">
        <v>31</v>
      </c>
      <c r="D10" s="3" t="s">
        <v>11</v>
      </c>
      <c r="E10" s="3" t="s">
        <v>27</v>
      </c>
      <c r="F10" s="12" t="s">
        <v>32</v>
      </c>
      <c r="G10" s="11"/>
      <c r="H10" s="11"/>
      <c r="I10" s="6"/>
      <c r="J10" s="6"/>
    </row>
    <row r="11">
      <c r="A11" s="7" t="s">
        <v>14</v>
      </c>
      <c r="B11" s="8">
        <v>7.000700551E9</v>
      </c>
      <c r="C11" s="7" t="s">
        <v>33</v>
      </c>
      <c r="D11" s="3" t="s">
        <v>11</v>
      </c>
      <c r="E11" s="3" t="s">
        <v>30</v>
      </c>
      <c r="F11" s="10" t="s">
        <v>13</v>
      </c>
      <c r="G11" s="11"/>
      <c r="H11" s="13"/>
      <c r="I11" s="6"/>
      <c r="J11" s="6"/>
    </row>
    <row r="12">
      <c r="A12" s="7" t="s">
        <v>14</v>
      </c>
      <c r="B12" s="8">
        <v>7.000700554E9</v>
      </c>
      <c r="C12" s="7" t="s">
        <v>34</v>
      </c>
      <c r="D12" s="3" t="s">
        <v>11</v>
      </c>
      <c r="E12" s="3" t="s">
        <v>27</v>
      </c>
      <c r="F12" s="12" t="s">
        <v>35</v>
      </c>
      <c r="G12" s="11"/>
      <c r="H12" s="11"/>
      <c r="I12" s="6"/>
      <c r="J12" s="6"/>
    </row>
    <row r="13">
      <c r="A13" s="7" t="s">
        <v>14</v>
      </c>
      <c r="B13" s="8">
        <v>7.000700555E9</v>
      </c>
      <c r="C13" s="7" t="s">
        <v>36</v>
      </c>
      <c r="D13" s="3" t="s">
        <v>11</v>
      </c>
      <c r="E13" s="3" t="s">
        <v>30</v>
      </c>
      <c r="F13" s="10" t="s">
        <v>37</v>
      </c>
      <c r="G13" s="11"/>
      <c r="H13" s="11"/>
      <c r="I13" s="6"/>
      <c r="J13" s="6"/>
    </row>
    <row r="14">
      <c r="A14" s="7" t="s">
        <v>14</v>
      </c>
      <c r="B14" s="8">
        <v>7.000005287E9</v>
      </c>
      <c r="C14" s="7" t="s">
        <v>38</v>
      </c>
      <c r="D14" s="3" t="s">
        <v>11</v>
      </c>
      <c r="E14" s="3" t="s">
        <v>27</v>
      </c>
      <c r="F14" s="12" t="s">
        <v>39</v>
      </c>
      <c r="G14" s="11"/>
      <c r="H14" s="13"/>
      <c r="I14" s="6"/>
      <c r="J14" s="6"/>
    </row>
    <row r="15">
      <c r="A15" s="7" t="s">
        <v>14</v>
      </c>
      <c r="B15" s="8">
        <v>7.000005419E9</v>
      </c>
      <c r="C15" s="7" t="s">
        <v>40</v>
      </c>
      <c r="D15" s="3" t="s">
        <v>11</v>
      </c>
      <c r="E15" s="3" t="s">
        <v>27</v>
      </c>
      <c r="F15" s="12" t="s">
        <v>41</v>
      </c>
      <c r="G15" s="11"/>
      <c r="H15" s="13"/>
      <c r="I15" s="6"/>
      <c r="J15" s="6"/>
    </row>
    <row r="16">
      <c r="A16" s="7" t="s">
        <v>14</v>
      </c>
      <c r="B16" s="8">
        <v>2.000050514E9</v>
      </c>
      <c r="C16" s="7" t="s">
        <v>42</v>
      </c>
      <c r="D16" s="3" t="s">
        <v>11</v>
      </c>
      <c r="E16" s="3" t="s">
        <v>30</v>
      </c>
      <c r="F16" s="10" t="s">
        <v>37</v>
      </c>
      <c r="G16" s="11"/>
      <c r="H16" s="11"/>
      <c r="I16" s="6"/>
      <c r="J16" s="6"/>
    </row>
    <row r="17">
      <c r="A17" s="7" t="s">
        <v>14</v>
      </c>
      <c r="B17" s="8">
        <v>7.000700556E9</v>
      </c>
      <c r="C17" s="7" t="s">
        <v>43</v>
      </c>
      <c r="D17" s="3" t="s">
        <v>11</v>
      </c>
      <c r="E17" s="3" t="s">
        <v>27</v>
      </c>
      <c r="F17" s="12" t="s">
        <v>44</v>
      </c>
      <c r="G17" s="11"/>
      <c r="H17" s="11"/>
      <c r="I17" s="6"/>
      <c r="J17" s="6"/>
    </row>
    <row r="18">
      <c r="A18" s="7" t="s">
        <v>14</v>
      </c>
      <c r="B18" s="8">
        <v>7.000000136E9</v>
      </c>
      <c r="C18" s="7" t="s">
        <v>45</v>
      </c>
      <c r="D18" s="3" t="s">
        <v>11</v>
      </c>
      <c r="E18" s="3" t="s">
        <v>27</v>
      </c>
      <c r="F18" s="12" t="s">
        <v>46</v>
      </c>
      <c r="G18" s="11"/>
      <c r="H18" s="11"/>
      <c r="I18" s="6"/>
      <c r="J18" s="6"/>
    </row>
    <row r="19">
      <c r="A19" s="7" t="s">
        <v>14</v>
      </c>
      <c r="B19" s="8">
        <v>7.000700558E9</v>
      </c>
      <c r="C19" s="7" t="s">
        <v>47</v>
      </c>
      <c r="D19" s="3" t="s">
        <v>11</v>
      </c>
      <c r="E19" s="3" t="s">
        <v>27</v>
      </c>
      <c r="F19" s="12" t="s">
        <v>48</v>
      </c>
      <c r="G19" s="11"/>
      <c r="H19" s="11"/>
      <c r="I19" s="6"/>
      <c r="J19" s="6"/>
    </row>
    <row r="20">
      <c r="A20" s="7" t="s">
        <v>14</v>
      </c>
      <c r="B20" s="8">
        <v>7.000000153E9</v>
      </c>
      <c r="C20" s="7" t="s">
        <v>49</v>
      </c>
      <c r="D20" s="3" t="s">
        <v>11</v>
      </c>
      <c r="E20" s="3" t="s">
        <v>30</v>
      </c>
      <c r="F20" s="10" t="s">
        <v>13</v>
      </c>
      <c r="G20" s="11"/>
      <c r="H20" s="11"/>
      <c r="I20" s="6"/>
      <c r="J20" s="6"/>
    </row>
    <row r="21">
      <c r="A21" s="7" t="s">
        <v>14</v>
      </c>
      <c r="B21" s="8">
        <v>7.00070056E9</v>
      </c>
      <c r="C21" s="7" t="s">
        <v>50</v>
      </c>
      <c r="D21" s="3" t="s">
        <v>11</v>
      </c>
      <c r="E21" s="3" t="s">
        <v>27</v>
      </c>
      <c r="F21" s="12" t="s">
        <v>51</v>
      </c>
      <c r="G21" s="11"/>
      <c r="H21" s="14" t="s">
        <v>52</v>
      </c>
      <c r="I21" s="6"/>
      <c r="J21" s="6"/>
    </row>
    <row r="22">
      <c r="A22" s="7" t="s">
        <v>14</v>
      </c>
      <c r="B22" s="8">
        <v>7.000700561E9</v>
      </c>
      <c r="C22" s="7" t="s">
        <v>53</v>
      </c>
      <c r="D22" s="3" t="s">
        <v>11</v>
      </c>
      <c r="E22" s="3" t="s">
        <v>27</v>
      </c>
      <c r="F22" s="12" t="s">
        <v>54</v>
      </c>
      <c r="G22" s="11"/>
      <c r="H22" s="11"/>
      <c r="I22" s="6"/>
      <c r="J22" s="6"/>
    </row>
    <row r="23">
      <c r="A23" s="7" t="s">
        <v>14</v>
      </c>
      <c r="B23" s="8">
        <v>2.00000296E9</v>
      </c>
      <c r="C23" s="7" t="s">
        <v>55</v>
      </c>
      <c r="D23" s="3" t="s">
        <v>11</v>
      </c>
      <c r="E23" s="3" t="s">
        <v>27</v>
      </c>
      <c r="F23" s="12" t="s">
        <v>56</v>
      </c>
      <c r="G23" s="11"/>
      <c r="H23" s="11"/>
      <c r="I23" s="6"/>
      <c r="J23" s="6"/>
    </row>
    <row r="24">
      <c r="A24" s="7" t="s">
        <v>14</v>
      </c>
      <c r="B24" s="8">
        <v>2.000050518E9</v>
      </c>
      <c r="C24" s="7" t="s">
        <v>57</v>
      </c>
      <c r="D24" s="3" t="s">
        <v>58</v>
      </c>
      <c r="E24" s="3" t="s">
        <v>59</v>
      </c>
      <c r="F24" s="12" t="s">
        <v>60</v>
      </c>
      <c r="G24" s="11"/>
      <c r="H24" s="11"/>
      <c r="I24" s="6"/>
      <c r="J24" s="6"/>
    </row>
    <row r="25">
      <c r="A25" s="7" t="s">
        <v>14</v>
      </c>
      <c r="B25" s="8">
        <v>7.000005517E9</v>
      </c>
      <c r="C25" s="7" t="s">
        <v>61</v>
      </c>
      <c r="D25" s="3" t="s">
        <v>11</v>
      </c>
      <c r="E25" s="3" t="s">
        <v>30</v>
      </c>
      <c r="F25" s="10" t="s">
        <v>13</v>
      </c>
      <c r="G25" s="11"/>
      <c r="H25" s="11"/>
      <c r="I25" s="6"/>
      <c r="J25" s="6"/>
    </row>
    <row r="26">
      <c r="A26" s="7" t="s">
        <v>14</v>
      </c>
      <c r="B26" s="8">
        <v>7.000700533E9</v>
      </c>
      <c r="C26" s="7" t="s">
        <v>62</v>
      </c>
      <c r="D26" s="3" t="s">
        <v>11</v>
      </c>
      <c r="E26" s="3" t="s">
        <v>27</v>
      </c>
      <c r="F26" s="12" t="s">
        <v>63</v>
      </c>
      <c r="G26" s="11"/>
      <c r="H26" s="11"/>
      <c r="I26" s="6"/>
      <c r="J26" s="6"/>
    </row>
    <row r="27">
      <c r="A27" s="7" t="s">
        <v>8</v>
      </c>
      <c r="B27" s="8">
        <v>7.000700565E9</v>
      </c>
      <c r="C27" s="7" t="s">
        <v>64</v>
      </c>
      <c r="D27" s="3" t="s">
        <v>11</v>
      </c>
      <c r="E27" s="3" t="s">
        <v>27</v>
      </c>
      <c r="F27" s="12" t="s">
        <v>65</v>
      </c>
      <c r="G27" s="11"/>
      <c r="H27" s="11"/>
      <c r="I27" s="6"/>
      <c r="J27" s="6"/>
    </row>
    <row r="28">
      <c r="A28" s="7" t="s">
        <v>66</v>
      </c>
      <c r="B28" s="8">
        <v>7.000700566E9</v>
      </c>
      <c r="C28" s="7" t="s">
        <v>67</v>
      </c>
      <c r="D28" s="3" t="s">
        <v>11</v>
      </c>
      <c r="E28" s="3" t="s">
        <v>27</v>
      </c>
      <c r="F28" s="12" t="s">
        <v>68</v>
      </c>
      <c r="G28" s="11"/>
      <c r="H28" s="11"/>
      <c r="I28" s="6"/>
      <c r="J28" s="6"/>
    </row>
    <row r="29">
      <c r="A29" s="7" t="s">
        <v>66</v>
      </c>
      <c r="B29" s="8">
        <v>2.000050515E9</v>
      </c>
      <c r="C29" s="7" t="s">
        <v>69</v>
      </c>
      <c r="D29" s="3" t="s">
        <v>11</v>
      </c>
      <c r="E29" s="3" t="s">
        <v>27</v>
      </c>
      <c r="F29" s="12" t="s">
        <v>70</v>
      </c>
      <c r="G29" s="11"/>
      <c r="H29" s="11"/>
      <c r="I29" s="6"/>
      <c r="J29" s="6"/>
    </row>
    <row r="30">
      <c r="A30" s="7" t="s">
        <v>66</v>
      </c>
      <c r="B30" s="8">
        <v>7.00070057E9</v>
      </c>
      <c r="C30" s="7" t="s">
        <v>71</v>
      </c>
      <c r="D30" s="3" t="s">
        <v>11</v>
      </c>
      <c r="E30" s="3" t="s">
        <v>27</v>
      </c>
      <c r="F30" s="12" t="s">
        <v>72</v>
      </c>
      <c r="G30" s="11"/>
      <c r="H30" s="11"/>
      <c r="I30" s="6"/>
      <c r="J30" s="6"/>
    </row>
    <row r="31">
      <c r="A31" s="7" t="s">
        <v>66</v>
      </c>
      <c r="B31" s="8">
        <v>7.000700571E9</v>
      </c>
      <c r="C31" s="7" t="s">
        <v>73</v>
      </c>
      <c r="D31" s="3" t="s">
        <v>11</v>
      </c>
      <c r="E31" s="3" t="s">
        <v>27</v>
      </c>
      <c r="F31" s="12" t="s">
        <v>74</v>
      </c>
      <c r="G31" s="11"/>
      <c r="H31" s="11"/>
      <c r="I31" s="6"/>
      <c r="J31" s="6"/>
    </row>
    <row r="32">
      <c r="A32" s="7" t="s">
        <v>66</v>
      </c>
      <c r="B32" s="8">
        <v>7.000700572E9</v>
      </c>
      <c r="C32" s="7" t="s">
        <v>75</v>
      </c>
      <c r="D32" s="3" t="s">
        <v>11</v>
      </c>
      <c r="E32" s="3" t="s">
        <v>27</v>
      </c>
      <c r="F32" s="12" t="s">
        <v>76</v>
      </c>
      <c r="G32" s="11"/>
      <c r="H32" s="11"/>
      <c r="I32" s="6"/>
      <c r="J32" s="6"/>
    </row>
    <row r="33">
      <c r="A33" s="7" t="s">
        <v>66</v>
      </c>
      <c r="B33" s="8">
        <v>7.000700574E9</v>
      </c>
      <c r="C33" s="7" t="s">
        <v>77</v>
      </c>
      <c r="D33" s="3" t="s">
        <v>11</v>
      </c>
      <c r="E33" s="3" t="s">
        <v>27</v>
      </c>
      <c r="F33" s="12" t="s">
        <v>78</v>
      </c>
      <c r="G33" s="11"/>
      <c r="H33" s="11"/>
      <c r="I33" s="6"/>
      <c r="J33" s="6"/>
    </row>
    <row r="34">
      <c r="A34" s="7" t="s">
        <v>66</v>
      </c>
      <c r="B34" s="8">
        <v>7.000005572E9</v>
      </c>
      <c r="C34" s="7" t="s">
        <v>79</v>
      </c>
      <c r="D34" s="3" t="s">
        <v>11</v>
      </c>
      <c r="E34" s="3" t="s">
        <v>27</v>
      </c>
      <c r="F34" s="12" t="s">
        <v>80</v>
      </c>
      <c r="G34" s="11"/>
      <c r="H34" s="11"/>
      <c r="I34" s="6"/>
      <c r="J34" s="6"/>
    </row>
    <row r="35">
      <c r="A35" s="7" t="s">
        <v>66</v>
      </c>
      <c r="B35" s="8">
        <v>7.000000022E9</v>
      </c>
      <c r="C35" s="7" t="s">
        <v>81</v>
      </c>
      <c r="D35" s="3" t="s">
        <v>11</v>
      </c>
      <c r="E35" s="3" t="s">
        <v>27</v>
      </c>
      <c r="F35" s="12" t="s">
        <v>82</v>
      </c>
      <c r="G35" s="11"/>
      <c r="H35" s="11"/>
      <c r="I35" s="6"/>
      <c r="J35" s="6"/>
    </row>
    <row r="36">
      <c r="A36" s="7" t="s">
        <v>66</v>
      </c>
      <c r="B36" s="8">
        <v>2.00005052E9</v>
      </c>
      <c r="C36" s="7" t="s">
        <v>83</v>
      </c>
      <c r="D36" s="3" t="s">
        <v>11</v>
      </c>
      <c r="E36" s="3" t="s">
        <v>27</v>
      </c>
      <c r="F36" s="12" t="s">
        <v>84</v>
      </c>
      <c r="G36" s="11"/>
      <c r="H36" s="11"/>
      <c r="I36" s="6"/>
      <c r="J36" s="6"/>
    </row>
    <row r="37">
      <c r="A37" s="7" t="s">
        <v>66</v>
      </c>
      <c r="B37" s="15" t="s">
        <v>85</v>
      </c>
      <c r="C37" s="7" t="s">
        <v>86</v>
      </c>
      <c r="D37" s="3" t="s">
        <v>58</v>
      </c>
      <c r="E37" s="3" t="s">
        <v>59</v>
      </c>
      <c r="F37" s="12" t="s">
        <v>87</v>
      </c>
      <c r="G37" s="11"/>
      <c r="H37" s="11"/>
      <c r="I37" s="6"/>
      <c r="J37" s="6"/>
    </row>
    <row r="38">
      <c r="A38" s="7" t="s">
        <v>66</v>
      </c>
      <c r="B38" s="8">
        <v>7.000005518E9</v>
      </c>
      <c r="C38" s="7" t="s">
        <v>88</v>
      </c>
      <c r="D38" s="3" t="s">
        <v>58</v>
      </c>
      <c r="E38" s="3" t="s">
        <v>59</v>
      </c>
      <c r="F38" s="12" t="s">
        <v>89</v>
      </c>
      <c r="G38" s="11"/>
      <c r="H38" s="11"/>
      <c r="I38" s="6"/>
      <c r="J38" s="6"/>
    </row>
    <row r="39">
      <c r="A39" s="7" t="s">
        <v>14</v>
      </c>
      <c r="B39" s="8">
        <v>7.000000596E9</v>
      </c>
      <c r="C39" s="7" t="s">
        <v>90</v>
      </c>
      <c r="D39" s="3" t="s">
        <v>11</v>
      </c>
      <c r="E39" s="3" t="s">
        <v>27</v>
      </c>
      <c r="F39" s="12" t="s">
        <v>91</v>
      </c>
      <c r="G39" s="11"/>
      <c r="H39" s="11"/>
      <c r="I39" s="6"/>
      <c r="J39" s="6"/>
    </row>
    <row r="40">
      <c r="A40" s="7" t="s">
        <v>66</v>
      </c>
      <c r="B40" s="8">
        <v>7.000000871E9</v>
      </c>
      <c r="C40" s="7" t="s">
        <v>92</v>
      </c>
      <c r="D40" s="3" t="s">
        <v>11</v>
      </c>
      <c r="E40" s="3" t="s">
        <v>30</v>
      </c>
      <c r="F40" s="10" t="s">
        <v>13</v>
      </c>
      <c r="G40" s="11"/>
      <c r="H40" s="11"/>
      <c r="I40" s="6"/>
      <c r="J40" s="6"/>
    </row>
    <row r="41">
      <c r="A41" s="7" t="s">
        <v>66</v>
      </c>
      <c r="B41" s="8">
        <v>7.000700575E9</v>
      </c>
      <c r="C41" s="7" t="s">
        <v>93</v>
      </c>
      <c r="D41" s="3" t="s">
        <v>11</v>
      </c>
      <c r="E41" s="3" t="s">
        <v>27</v>
      </c>
      <c r="F41" s="12" t="s">
        <v>94</v>
      </c>
      <c r="G41" s="11"/>
      <c r="H41" s="11"/>
      <c r="I41" s="6"/>
      <c r="J41" s="6"/>
    </row>
    <row r="42">
      <c r="A42" s="7" t="s">
        <v>66</v>
      </c>
      <c r="B42" s="8">
        <v>7.000700576E9</v>
      </c>
      <c r="C42" s="7" t="s">
        <v>95</v>
      </c>
      <c r="D42" s="3" t="s">
        <v>11</v>
      </c>
      <c r="E42" s="3" t="s">
        <v>27</v>
      </c>
      <c r="F42" s="12" t="s">
        <v>96</v>
      </c>
      <c r="G42" s="11"/>
      <c r="H42" s="11"/>
      <c r="I42" s="6"/>
      <c r="J42" s="6"/>
    </row>
    <row r="43">
      <c r="A43" s="7" t="s">
        <v>66</v>
      </c>
      <c r="B43" s="8">
        <v>7.000700579E9</v>
      </c>
      <c r="C43" s="7" t="s">
        <v>97</v>
      </c>
      <c r="D43" s="3" t="s">
        <v>11</v>
      </c>
      <c r="E43" s="3" t="s">
        <v>27</v>
      </c>
      <c r="F43" s="12" t="s">
        <v>98</v>
      </c>
      <c r="G43" s="11"/>
      <c r="H43" s="11"/>
      <c r="I43" s="6"/>
      <c r="J43" s="6"/>
    </row>
    <row r="44">
      <c r="A44" s="7" t="s">
        <v>66</v>
      </c>
      <c r="B44" s="8">
        <v>7.00070058E9</v>
      </c>
      <c r="C44" s="7" t="s">
        <v>99</v>
      </c>
      <c r="D44" s="3" t="s">
        <v>11</v>
      </c>
      <c r="E44" s="3" t="s">
        <v>27</v>
      </c>
      <c r="F44" s="12" t="s">
        <v>100</v>
      </c>
      <c r="G44" s="11"/>
      <c r="H44" s="11"/>
      <c r="I44" s="6"/>
      <c r="J44" s="6"/>
    </row>
    <row r="45">
      <c r="A45" s="7" t="s">
        <v>66</v>
      </c>
      <c r="B45" s="8">
        <v>7.000700581E9</v>
      </c>
      <c r="C45" s="7" t="s">
        <v>101</v>
      </c>
      <c r="D45" s="3" t="s">
        <v>11</v>
      </c>
      <c r="E45" s="3" t="s">
        <v>27</v>
      </c>
      <c r="F45" s="12" t="s">
        <v>102</v>
      </c>
      <c r="G45" s="11"/>
      <c r="H45" s="11"/>
      <c r="I45" s="6"/>
      <c r="J45" s="6"/>
    </row>
    <row r="46">
      <c r="A46" s="7" t="s">
        <v>66</v>
      </c>
      <c r="B46" s="8">
        <v>7.000000152E9</v>
      </c>
      <c r="C46" s="7" t="s">
        <v>103</v>
      </c>
      <c r="D46" s="3" t="s">
        <v>11</v>
      </c>
      <c r="E46" s="3" t="s">
        <v>27</v>
      </c>
      <c r="F46" s="12" t="s">
        <v>104</v>
      </c>
      <c r="G46" s="11"/>
      <c r="H46" s="11"/>
      <c r="I46" s="6"/>
      <c r="J46" s="6"/>
    </row>
    <row r="47">
      <c r="A47" s="7" t="s">
        <v>66</v>
      </c>
      <c r="B47" s="8">
        <v>7.000005502E9</v>
      </c>
      <c r="C47" s="7" t="s">
        <v>105</v>
      </c>
      <c r="D47" s="3" t="s">
        <v>58</v>
      </c>
      <c r="E47" s="3" t="s">
        <v>59</v>
      </c>
      <c r="F47" s="16" t="s">
        <v>106</v>
      </c>
      <c r="G47" s="11"/>
      <c r="H47" s="11"/>
      <c r="I47" s="6"/>
      <c r="J47" s="6"/>
    </row>
    <row r="48">
      <c r="A48" s="7" t="s">
        <v>66</v>
      </c>
      <c r="B48" s="8">
        <v>7.000700582E9</v>
      </c>
      <c r="C48" s="7" t="s">
        <v>107</v>
      </c>
      <c r="D48" s="3" t="s">
        <v>11</v>
      </c>
      <c r="E48" s="3" t="s">
        <v>27</v>
      </c>
      <c r="F48" s="12" t="s">
        <v>108</v>
      </c>
      <c r="G48" s="11"/>
      <c r="H48" s="11"/>
      <c r="I48" s="6"/>
      <c r="J48" s="6"/>
    </row>
    <row r="49">
      <c r="A49" s="7" t="s">
        <v>66</v>
      </c>
      <c r="B49" s="8">
        <v>2.000050523E9</v>
      </c>
      <c r="C49" s="7" t="s">
        <v>109</v>
      </c>
      <c r="D49" s="3" t="s">
        <v>58</v>
      </c>
      <c r="E49" s="3" t="s">
        <v>59</v>
      </c>
      <c r="F49" s="12" t="s">
        <v>110</v>
      </c>
      <c r="G49" s="11"/>
      <c r="H49" s="11"/>
      <c r="I49" s="6"/>
      <c r="J49" s="6"/>
    </row>
    <row r="50">
      <c r="A50" s="7" t="s">
        <v>66</v>
      </c>
      <c r="B50" s="15">
        <v>7.000700542E9</v>
      </c>
      <c r="C50" s="7" t="s">
        <v>111</v>
      </c>
      <c r="D50" s="3" t="s">
        <v>11</v>
      </c>
      <c r="E50" s="3" t="s">
        <v>30</v>
      </c>
      <c r="F50" s="10" t="s">
        <v>13</v>
      </c>
      <c r="G50" s="11"/>
      <c r="H50" s="11"/>
      <c r="I50" s="6"/>
      <c r="J50" s="6"/>
    </row>
    <row r="51">
      <c r="A51" s="7" t="s">
        <v>8</v>
      </c>
      <c r="B51" s="15">
        <v>7.000000146E9</v>
      </c>
      <c r="C51" s="7" t="s">
        <v>112</v>
      </c>
      <c r="D51" s="3" t="s">
        <v>11</v>
      </c>
      <c r="E51" s="3" t="s">
        <v>27</v>
      </c>
      <c r="F51" s="12" t="s">
        <v>113</v>
      </c>
      <c r="G51" s="11"/>
      <c r="H51" s="11"/>
      <c r="I51" s="6"/>
      <c r="J51" s="6"/>
    </row>
    <row r="52">
      <c r="A52" s="7" t="s">
        <v>66</v>
      </c>
      <c r="B52" s="15">
        <v>7.000700584E9</v>
      </c>
      <c r="C52" s="7" t="s">
        <v>114</v>
      </c>
      <c r="D52" s="3" t="s">
        <v>58</v>
      </c>
      <c r="E52" s="3" t="s">
        <v>59</v>
      </c>
      <c r="F52" s="12" t="s">
        <v>115</v>
      </c>
      <c r="G52" s="11"/>
      <c r="H52" s="11"/>
      <c r="I52" s="6"/>
      <c r="J52" s="6"/>
    </row>
    <row r="53">
      <c r="A53" s="7" t="s">
        <v>66</v>
      </c>
      <c r="B53" s="8">
        <v>7.000700587E9</v>
      </c>
      <c r="C53" s="7" t="s">
        <v>116</v>
      </c>
      <c r="D53" s="3" t="s">
        <v>11</v>
      </c>
      <c r="E53" s="3" t="s">
        <v>27</v>
      </c>
      <c r="F53" s="12" t="s">
        <v>117</v>
      </c>
      <c r="G53" s="11"/>
      <c r="H53" s="11"/>
      <c r="I53" s="6"/>
      <c r="J53" s="6"/>
    </row>
    <row r="54">
      <c r="A54" s="7" t="s">
        <v>66</v>
      </c>
      <c r="B54" s="8">
        <v>7.000700588E9</v>
      </c>
      <c r="C54" s="7" t="s">
        <v>118</v>
      </c>
      <c r="D54" s="3" t="s">
        <v>11</v>
      </c>
      <c r="E54" s="3" t="s">
        <v>27</v>
      </c>
      <c r="F54" s="12" t="s">
        <v>119</v>
      </c>
      <c r="G54" s="11"/>
      <c r="H54" s="11"/>
      <c r="I54" s="6"/>
      <c r="J54" s="6"/>
    </row>
    <row r="55">
      <c r="A55" s="7" t="s">
        <v>66</v>
      </c>
      <c r="B55" s="8">
        <v>7.00070059E9</v>
      </c>
      <c r="C55" s="7" t="s">
        <v>120</v>
      </c>
      <c r="D55" s="3" t="s">
        <v>11</v>
      </c>
      <c r="E55" s="3" t="s">
        <v>27</v>
      </c>
      <c r="F55" s="12" t="s">
        <v>121</v>
      </c>
      <c r="G55" s="11"/>
      <c r="H55" s="11"/>
      <c r="I55" s="6"/>
      <c r="J55" s="6"/>
    </row>
    <row r="56">
      <c r="A56" s="7" t="s">
        <v>66</v>
      </c>
      <c r="B56" s="8">
        <v>2.000050524E9</v>
      </c>
      <c r="C56" s="7" t="s">
        <v>122</v>
      </c>
      <c r="D56" s="3" t="s">
        <v>58</v>
      </c>
      <c r="E56" s="3" t="s">
        <v>59</v>
      </c>
      <c r="F56" s="12" t="s">
        <v>123</v>
      </c>
      <c r="G56" s="11"/>
      <c r="H56" s="11"/>
      <c r="I56" s="6"/>
      <c r="J56" s="6"/>
    </row>
    <row r="57">
      <c r="A57" s="7" t="s">
        <v>66</v>
      </c>
      <c r="B57" s="8">
        <v>7.000700591E9</v>
      </c>
      <c r="C57" s="7" t="s">
        <v>124</v>
      </c>
      <c r="D57" s="3" t="s">
        <v>11</v>
      </c>
      <c r="E57" s="3" t="s">
        <v>27</v>
      </c>
      <c r="F57" s="12" t="s">
        <v>125</v>
      </c>
      <c r="G57" s="11"/>
      <c r="H57" s="11"/>
      <c r="I57" s="6"/>
      <c r="J57" s="6"/>
    </row>
    <row r="58">
      <c r="A58" s="7" t="s">
        <v>66</v>
      </c>
      <c r="B58" s="8">
        <v>2.000050521E9</v>
      </c>
      <c r="C58" s="7" t="s">
        <v>126</v>
      </c>
      <c r="D58" s="3" t="s">
        <v>58</v>
      </c>
      <c r="E58" s="3" t="s">
        <v>59</v>
      </c>
      <c r="F58" s="12" t="s">
        <v>127</v>
      </c>
      <c r="G58" s="11"/>
      <c r="H58" s="11"/>
      <c r="I58" s="6"/>
      <c r="J58" s="6"/>
    </row>
    <row r="59">
      <c r="A59" s="7" t="s">
        <v>66</v>
      </c>
      <c r="B59" s="8">
        <v>2.000050525E9</v>
      </c>
      <c r="C59" s="7" t="s">
        <v>128</v>
      </c>
      <c r="D59" s="3" t="s">
        <v>58</v>
      </c>
      <c r="E59" s="3" t="s">
        <v>59</v>
      </c>
      <c r="F59" s="12" t="s">
        <v>129</v>
      </c>
      <c r="G59" s="11"/>
      <c r="H59" s="11"/>
      <c r="I59" s="6"/>
      <c r="J59" s="6"/>
    </row>
    <row r="60">
      <c r="A60" s="7" t="s">
        <v>66</v>
      </c>
      <c r="B60" s="8">
        <v>2.000050526E9</v>
      </c>
      <c r="C60" s="7" t="s">
        <v>130</v>
      </c>
      <c r="D60" s="3" t="s">
        <v>58</v>
      </c>
      <c r="E60" s="3" t="s">
        <v>59</v>
      </c>
      <c r="F60" s="12" t="s">
        <v>131</v>
      </c>
      <c r="G60" s="11"/>
      <c r="H60" s="11"/>
      <c r="I60" s="6"/>
      <c r="J60" s="6"/>
    </row>
    <row r="61">
      <c r="A61" s="7" t="s">
        <v>66</v>
      </c>
      <c r="B61" s="8">
        <v>2.000050527E9</v>
      </c>
      <c r="C61" s="7" t="s">
        <v>132</v>
      </c>
      <c r="D61" s="3" t="s">
        <v>58</v>
      </c>
      <c r="E61" s="3" t="s">
        <v>59</v>
      </c>
      <c r="F61" s="12" t="s">
        <v>133</v>
      </c>
      <c r="G61" s="11"/>
      <c r="H61" s="11"/>
      <c r="I61" s="6"/>
      <c r="J61" s="6"/>
    </row>
    <row r="62">
      <c r="A62" s="7" t="s">
        <v>66</v>
      </c>
      <c r="B62" s="8">
        <v>7.000004595E9</v>
      </c>
      <c r="C62" s="7" t="s">
        <v>134</v>
      </c>
      <c r="D62" s="3" t="s">
        <v>11</v>
      </c>
      <c r="E62" s="3" t="s">
        <v>27</v>
      </c>
      <c r="F62" s="12" t="s">
        <v>135</v>
      </c>
      <c r="G62" s="11"/>
      <c r="H62" s="11"/>
      <c r="I62" s="6"/>
      <c r="J62" s="6"/>
    </row>
    <row r="63">
      <c r="A63" s="7" t="s">
        <v>66</v>
      </c>
      <c r="B63" s="8">
        <v>7.000005435E9</v>
      </c>
      <c r="C63" s="7" t="s">
        <v>136</v>
      </c>
      <c r="D63" s="3" t="s">
        <v>11</v>
      </c>
      <c r="E63" s="3" t="s">
        <v>27</v>
      </c>
      <c r="F63" s="12" t="s">
        <v>137</v>
      </c>
      <c r="G63" s="11"/>
      <c r="H63" s="11"/>
      <c r="I63" s="6"/>
      <c r="J63" s="6"/>
    </row>
    <row r="64">
      <c r="A64" s="7" t="s">
        <v>66</v>
      </c>
      <c r="B64" s="8">
        <v>7.000700592E9</v>
      </c>
      <c r="C64" s="7" t="s">
        <v>138</v>
      </c>
      <c r="D64" s="3" t="s">
        <v>11</v>
      </c>
      <c r="E64" s="3" t="s">
        <v>27</v>
      </c>
      <c r="F64" s="12" t="s">
        <v>139</v>
      </c>
      <c r="G64" s="11"/>
      <c r="H64" s="11"/>
      <c r="I64" s="6"/>
      <c r="J64" s="6"/>
    </row>
    <row r="65">
      <c r="A65" s="7" t="s">
        <v>66</v>
      </c>
      <c r="B65" s="8">
        <v>7.000700593E9</v>
      </c>
      <c r="C65" s="7" t="s">
        <v>140</v>
      </c>
      <c r="D65" s="3" t="s">
        <v>11</v>
      </c>
      <c r="E65" s="3" t="s">
        <v>27</v>
      </c>
      <c r="F65" s="12" t="s">
        <v>141</v>
      </c>
      <c r="G65" s="11"/>
      <c r="H65" s="11"/>
      <c r="I65" s="6"/>
      <c r="J65" s="6"/>
    </row>
    <row r="66">
      <c r="A66" s="7" t="s">
        <v>66</v>
      </c>
      <c r="B66" s="8">
        <v>7.000700594E9</v>
      </c>
      <c r="C66" s="7" t="s">
        <v>142</v>
      </c>
      <c r="D66" s="3" t="s">
        <v>11</v>
      </c>
      <c r="E66" s="3" t="s">
        <v>30</v>
      </c>
      <c r="F66" s="10" t="s">
        <v>13</v>
      </c>
      <c r="G66" s="11"/>
      <c r="H66" s="11"/>
      <c r="I66" s="6"/>
      <c r="J66" s="6"/>
    </row>
    <row r="67">
      <c r="A67" s="7" t="s">
        <v>66</v>
      </c>
      <c r="B67" s="8">
        <v>7.000700595E9</v>
      </c>
      <c r="C67" s="7" t="s">
        <v>143</v>
      </c>
      <c r="D67" s="3" t="s">
        <v>11</v>
      </c>
      <c r="E67" s="3" t="s">
        <v>27</v>
      </c>
      <c r="F67" s="12" t="s">
        <v>144</v>
      </c>
      <c r="G67" s="11"/>
      <c r="H67" s="11"/>
      <c r="I67" s="6"/>
      <c r="J67" s="6"/>
    </row>
    <row r="68">
      <c r="A68" s="7" t="s">
        <v>66</v>
      </c>
      <c r="B68" s="8">
        <v>2.000002978E9</v>
      </c>
      <c r="C68" s="7" t="s">
        <v>145</v>
      </c>
      <c r="D68" s="3" t="s">
        <v>11</v>
      </c>
      <c r="E68" s="3" t="s">
        <v>30</v>
      </c>
      <c r="F68" s="10" t="s">
        <v>13</v>
      </c>
      <c r="G68" s="11"/>
      <c r="H68" s="11"/>
      <c r="I68" s="6"/>
      <c r="J68" s="6"/>
    </row>
    <row r="69">
      <c r="A69" s="7" t="s">
        <v>66</v>
      </c>
      <c r="B69" s="8">
        <v>7.000000085E9</v>
      </c>
      <c r="C69" s="7" t="s">
        <v>146</v>
      </c>
      <c r="D69" s="3" t="s">
        <v>11</v>
      </c>
      <c r="E69" s="3" t="s">
        <v>27</v>
      </c>
      <c r="F69" s="12" t="s">
        <v>147</v>
      </c>
      <c r="G69" s="11"/>
      <c r="H69" s="11"/>
      <c r="I69" s="6"/>
      <c r="J69" s="6"/>
    </row>
    <row r="70">
      <c r="A70" s="7" t="s">
        <v>66</v>
      </c>
      <c r="B70" s="8">
        <v>7.000005446E9</v>
      </c>
      <c r="C70" s="7" t="s">
        <v>148</v>
      </c>
      <c r="D70" s="3" t="s">
        <v>11</v>
      </c>
      <c r="E70" s="3" t="s">
        <v>27</v>
      </c>
      <c r="F70" s="12" t="s">
        <v>149</v>
      </c>
      <c r="G70" s="11"/>
      <c r="H70" s="11"/>
      <c r="I70" s="6"/>
      <c r="J70" s="6"/>
    </row>
    <row r="71">
      <c r="A71" s="7" t="s">
        <v>66</v>
      </c>
      <c r="B71" s="8">
        <v>7.000005464E9</v>
      </c>
      <c r="C71" s="7" t="s">
        <v>150</v>
      </c>
      <c r="D71" s="3" t="s">
        <v>11</v>
      </c>
      <c r="E71" s="3" t="s">
        <v>27</v>
      </c>
      <c r="F71" s="12" t="s">
        <v>151</v>
      </c>
      <c r="G71" s="11"/>
      <c r="H71" s="11"/>
      <c r="I71" s="6"/>
      <c r="J71" s="6"/>
    </row>
    <row r="72">
      <c r="A72" s="7" t="s">
        <v>66</v>
      </c>
      <c r="B72" s="8">
        <v>7.000000526E9</v>
      </c>
      <c r="C72" s="7" t="s">
        <v>152</v>
      </c>
      <c r="D72" s="3" t="s">
        <v>11</v>
      </c>
      <c r="E72" s="3" t="s">
        <v>27</v>
      </c>
      <c r="F72" s="12" t="s">
        <v>153</v>
      </c>
      <c r="G72" s="11"/>
      <c r="H72" s="11"/>
      <c r="I72" s="6"/>
      <c r="J72" s="6"/>
    </row>
    <row r="73">
      <c r="A73" s="7" t="s">
        <v>66</v>
      </c>
      <c r="B73" s="8">
        <v>7.000700597E9</v>
      </c>
      <c r="C73" s="7" t="s">
        <v>154</v>
      </c>
      <c r="D73" s="3" t="s">
        <v>11</v>
      </c>
      <c r="E73" s="3" t="s">
        <v>27</v>
      </c>
      <c r="F73" s="12" t="s">
        <v>155</v>
      </c>
      <c r="G73" s="11"/>
      <c r="H73" s="11"/>
      <c r="I73" s="6"/>
      <c r="J73" s="6"/>
    </row>
    <row r="74">
      <c r="A74" s="7" t="s">
        <v>66</v>
      </c>
      <c r="B74" s="8">
        <v>7.000700598E9</v>
      </c>
      <c r="C74" s="7" t="s">
        <v>156</v>
      </c>
      <c r="D74" s="3" t="s">
        <v>11</v>
      </c>
      <c r="E74" s="3" t="s">
        <v>27</v>
      </c>
      <c r="F74" s="12" t="s">
        <v>157</v>
      </c>
      <c r="G74" s="11"/>
      <c r="H74" s="11"/>
      <c r="I74" s="6"/>
      <c r="J74" s="6"/>
    </row>
    <row r="75">
      <c r="A75" s="7" t="s">
        <v>66</v>
      </c>
      <c r="B75" s="8">
        <v>7.000700599E9</v>
      </c>
      <c r="C75" s="7" t="s">
        <v>158</v>
      </c>
      <c r="D75" s="3" t="s">
        <v>11</v>
      </c>
      <c r="E75" s="3" t="s">
        <v>27</v>
      </c>
      <c r="F75" s="12" t="s">
        <v>159</v>
      </c>
      <c r="G75" s="11"/>
      <c r="H75" s="11"/>
      <c r="I75" s="6"/>
      <c r="J75" s="6"/>
    </row>
    <row r="76">
      <c r="A76" s="7" t="s">
        <v>66</v>
      </c>
      <c r="B76" s="8">
        <v>7.000700567E9</v>
      </c>
      <c r="C76" s="7" t="s">
        <v>160</v>
      </c>
      <c r="D76" s="3" t="s">
        <v>11</v>
      </c>
      <c r="E76" s="3" t="s">
        <v>30</v>
      </c>
      <c r="F76" s="10" t="s">
        <v>37</v>
      </c>
      <c r="G76" s="11"/>
      <c r="H76" s="11"/>
      <c r="I76" s="6"/>
      <c r="J76" s="6"/>
    </row>
    <row r="77">
      <c r="A77" s="7" t="s">
        <v>66</v>
      </c>
      <c r="B77" s="8">
        <v>2.000050529E9</v>
      </c>
      <c r="C77" s="7" t="s">
        <v>161</v>
      </c>
      <c r="D77" s="3" t="s">
        <v>162</v>
      </c>
      <c r="E77" s="3" t="s">
        <v>59</v>
      </c>
      <c r="F77" s="12" t="s">
        <v>163</v>
      </c>
      <c r="G77" s="11"/>
      <c r="H77" s="11"/>
      <c r="I77" s="6"/>
      <c r="J77" s="6"/>
    </row>
    <row r="78">
      <c r="A78" s="7" t="s">
        <v>66</v>
      </c>
      <c r="B78" s="8">
        <v>2.000050531E9</v>
      </c>
      <c r="C78" s="7" t="s">
        <v>164</v>
      </c>
      <c r="D78" s="3" t="s">
        <v>58</v>
      </c>
      <c r="E78" s="3" t="s">
        <v>59</v>
      </c>
      <c r="F78" s="12" t="s">
        <v>165</v>
      </c>
      <c r="G78" s="11"/>
      <c r="H78" s="11"/>
      <c r="I78" s="6"/>
      <c r="J78" s="6"/>
    </row>
    <row r="79">
      <c r="A79" s="7" t="s">
        <v>66</v>
      </c>
      <c r="B79" s="8">
        <v>2.000050532E9</v>
      </c>
      <c r="C79" s="7" t="s">
        <v>166</v>
      </c>
      <c r="D79" s="3" t="s">
        <v>58</v>
      </c>
      <c r="E79" s="3" t="s">
        <v>59</v>
      </c>
      <c r="F79" s="12" t="s">
        <v>167</v>
      </c>
      <c r="G79" s="11"/>
      <c r="H79" s="11"/>
      <c r="I79" s="6"/>
      <c r="J79" s="6"/>
    </row>
    <row r="80">
      <c r="A80" s="7" t="s">
        <v>66</v>
      </c>
      <c r="B80" s="8">
        <v>7.000000726E9</v>
      </c>
      <c r="C80" s="7" t="s">
        <v>168</v>
      </c>
      <c r="D80" s="3" t="s">
        <v>58</v>
      </c>
      <c r="E80" s="3" t="s">
        <v>59</v>
      </c>
      <c r="F80" s="12" t="s">
        <v>169</v>
      </c>
      <c r="G80" s="11"/>
      <c r="H80" s="11"/>
      <c r="I80" s="6"/>
      <c r="J80" s="6"/>
    </row>
    <row r="81">
      <c r="A81" s="7" t="s">
        <v>66</v>
      </c>
      <c r="B81" s="8">
        <v>7.0007006E9</v>
      </c>
      <c r="C81" s="7" t="s">
        <v>170</v>
      </c>
      <c r="D81" s="3" t="s">
        <v>11</v>
      </c>
      <c r="E81" s="3" t="s">
        <v>27</v>
      </c>
      <c r="F81" s="12" t="s">
        <v>171</v>
      </c>
      <c r="G81" s="11"/>
      <c r="H81" s="11"/>
      <c r="I81" s="6"/>
      <c r="J81" s="6"/>
    </row>
    <row r="82">
      <c r="A82" s="7" t="s">
        <v>66</v>
      </c>
      <c r="B82" s="8">
        <v>7.000700601E9</v>
      </c>
      <c r="C82" s="7" t="s">
        <v>172</v>
      </c>
      <c r="D82" s="3" t="s">
        <v>11</v>
      </c>
      <c r="E82" s="3" t="s">
        <v>27</v>
      </c>
      <c r="F82" s="12" t="s">
        <v>173</v>
      </c>
      <c r="G82" s="11"/>
      <c r="H82" s="11"/>
      <c r="I82" s="6"/>
      <c r="J82" s="6"/>
    </row>
    <row r="83">
      <c r="A83" s="7" t="s">
        <v>66</v>
      </c>
      <c r="B83" s="8">
        <v>2.000050535E9</v>
      </c>
      <c r="C83" s="7" t="s">
        <v>174</v>
      </c>
      <c r="D83" s="3" t="s">
        <v>162</v>
      </c>
      <c r="E83" s="3" t="s">
        <v>12</v>
      </c>
      <c r="F83" s="12" t="s">
        <v>175</v>
      </c>
      <c r="G83" s="11"/>
      <c r="H83" s="11"/>
      <c r="I83" s="6"/>
      <c r="J83" s="6"/>
    </row>
    <row r="84">
      <c r="A84" s="7" t="s">
        <v>66</v>
      </c>
      <c r="B84" s="8">
        <v>2.000050536E9</v>
      </c>
      <c r="C84" s="7" t="s">
        <v>176</v>
      </c>
      <c r="D84" s="3" t="s">
        <v>162</v>
      </c>
      <c r="E84" s="3" t="s">
        <v>59</v>
      </c>
      <c r="F84" s="12" t="s">
        <v>177</v>
      </c>
      <c r="G84" s="11"/>
      <c r="H84" s="11"/>
      <c r="I84" s="6"/>
      <c r="J84" s="6"/>
    </row>
    <row r="85">
      <c r="A85" s="7" t="s">
        <v>66</v>
      </c>
      <c r="B85" s="8">
        <v>2.000050538E9</v>
      </c>
      <c r="C85" s="7" t="s">
        <v>178</v>
      </c>
      <c r="D85" s="3" t="s">
        <v>179</v>
      </c>
      <c r="E85" s="3" t="s">
        <v>12</v>
      </c>
      <c r="F85" s="12" t="s">
        <v>180</v>
      </c>
      <c r="G85" s="11"/>
      <c r="H85" s="11"/>
      <c r="I85" s="6"/>
      <c r="J85" s="6"/>
    </row>
    <row r="86">
      <c r="A86" s="7" t="s">
        <v>66</v>
      </c>
      <c r="B86" s="8">
        <v>7.000700602E9</v>
      </c>
      <c r="C86" s="7" t="s">
        <v>181</v>
      </c>
      <c r="D86" s="3" t="s">
        <v>11</v>
      </c>
      <c r="E86" s="3" t="s">
        <v>27</v>
      </c>
      <c r="F86" s="12" t="s">
        <v>182</v>
      </c>
      <c r="G86" s="11"/>
      <c r="H86" s="11"/>
      <c r="I86" s="6"/>
      <c r="J86" s="6"/>
    </row>
    <row r="87">
      <c r="A87" s="7" t="s">
        <v>66</v>
      </c>
      <c r="B87" s="8">
        <v>2.00005054E9</v>
      </c>
      <c r="C87" s="7" t="s">
        <v>183</v>
      </c>
      <c r="D87" s="3" t="s">
        <v>11</v>
      </c>
      <c r="E87" s="3" t="s">
        <v>27</v>
      </c>
      <c r="F87" s="12" t="s">
        <v>184</v>
      </c>
      <c r="G87" s="11"/>
      <c r="H87" s="11"/>
      <c r="I87" s="6"/>
      <c r="J87" s="6"/>
    </row>
    <row r="88">
      <c r="A88" s="7" t="s">
        <v>8</v>
      </c>
      <c r="B88" s="8">
        <v>2.000050541E9</v>
      </c>
      <c r="C88" s="7" t="s">
        <v>185</v>
      </c>
      <c r="D88" s="3" t="s">
        <v>11</v>
      </c>
      <c r="E88" s="3" t="s">
        <v>27</v>
      </c>
      <c r="F88" s="12" t="s">
        <v>186</v>
      </c>
      <c r="G88" s="11"/>
      <c r="H88" s="11"/>
      <c r="I88" s="6"/>
      <c r="J88" s="6"/>
    </row>
    <row r="89">
      <c r="A89" s="7" t="s">
        <v>66</v>
      </c>
      <c r="B89" s="8">
        <v>7.000005537E9</v>
      </c>
      <c r="C89" s="7" t="s">
        <v>187</v>
      </c>
      <c r="D89" s="3" t="s">
        <v>11</v>
      </c>
      <c r="E89" s="3" t="s">
        <v>27</v>
      </c>
      <c r="F89" s="12" t="s">
        <v>188</v>
      </c>
      <c r="G89" s="11"/>
      <c r="H89" s="11"/>
      <c r="I89" s="6"/>
      <c r="J89" s="6"/>
    </row>
    <row r="90">
      <c r="A90" s="7" t="s">
        <v>66</v>
      </c>
      <c r="B90" s="8">
        <v>7.000005552E9</v>
      </c>
      <c r="C90" s="7" t="s">
        <v>189</v>
      </c>
      <c r="D90" s="3" t="s">
        <v>11</v>
      </c>
      <c r="E90" s="3" t="s">
        <v>27</v>
      </c>
      <c r="F90" s="12" t="s">
        <v>190</v>
      </c>
      <c r="G90" s="11"/>
      <c r="H90" s="11"/>
      <c r="I90" s="6"/>
      <c r="J90" s="6"/>
    </row>
    <row r="91">
      <c r="A91" s="7" t="s">
        <v>66</v>
      </c>
      <c r="B91" s="8">
        <v>7.000700604E9</v>
      </c>
      <c r="C91" s="7" t="s">
        <v>191</v>
      </c>
      <c r="D91" s="3" t="s">
        <v>11</v>
      </c>
      <c r="E91" s="3" t="s">
        <v>27</v>
      </c>
      <c r="F91" s="12" t="s">
        <v>192</v>
      </c>
      <c r="G91" s="11"/>
      <c r="H91" s="11"/>
      <c r="I91" s="6"/>
      <c r="J91" s="6"/>
    </row>
    <row r="92">
      <c r="A92" s="7" t="s">
        <v>66</v>
      </c>
      <c r="B92" s="8">
        <v>2.000050542E9</v>
      </c>
      <c r="C92" s="7" t="s">
        <v>193</v>
      </c>
      <c r="D92" s="3" t="s">
        <v>11</v>
      </c>
      <c r="E92" s="3" t="s">
        <v>27</v>
      </c>
      <c r="F92" s="12" t="s">
        <v>194</v>
      </c>
      <c r="G92" s="11"/>
      <c r="H92" s="11"/>
      <c r="I92" s="6"/>
      <c r="J92" s="6"/>
    </row>
    <row r="93">
      <c r="A93" s="7" t="s">
        <v>66</v>
      </c>
      <c r="B93" s="8">
        <v>2.000050544E9</v>
      </c>
      <c r="C93" s="7" t="s">
        <v>195</v>
      </c>
      <c r="D93" s="3" t="s">
        <v>58</v>
      </c>
      <c r="E93" s="3" t="s">
        <v>59</v>
      </c>
      <c r="F93" s="12" t="s">
        <v>196</v>
      </c>
      <c r="G93" s="11"/>
      <c r="H93" s="11"/>
      <c r="I93" s="6"/>
      <c r="J93" s="6"/>
    </row>
    <row r="94">
      <c r="A94" s="7" t="s">
        <v>66</v>
      </c>
      <c r="B94" s="8">
        <v>2.000050545E9</v>
      </c>
      <c r="C94" s="7" t="s">
        <v>197</v>
      </c>
      <c r="D94" s="3" t="s">
        <v>11</v>
      </c>
      <c r="E94" s="3" t="s">
        <v>27</v>
      </c>
      <c r="F94" s="12" t="s">
        <v>198</v>
      </c>
      <c r="G94" s="11"/>
      <c r="H94" s="11"/>
      <c r="I94" s="6"/>
      <c r="J94" s="6"/>
    </row>
    <row r="95">
      <c r="A95" s="7" t="s">
        <v>66</v>
      </c>
      <c r="B95" s="8">
        <v>2.000050546E9</v>
      </c>
      <c r="C95" s="7" t="s">
        <v>199</v>
      </c>
      <c r="D95" s="3" t="s">
        <v>200</v>
      </c>
      <c r="E95" s="3" t="s">
        <v>59</v>
      </c>
      <c r="F95" s="12" t="s">
        <v>201</v>
      </c>
      <c r="G95" s="11"/>
      <c r="H95" s="11"/>
      <c r="I95" s="6"/>
      <c r="J95" s="6"/>
    </row>
    <row r="96">
      <c r="A96" s="7" t="s">
        <v>66</v>
      </c>
      <c r="B96" s="15">
        <v>7.000700586E9</v>
      </c>
      <c r="C96" s="7" t="s">
        <v>202</v>
      </c>
      <c r="D96" s="3" t="s">
        <v>11</v>
      </c>
      <c r="E96" s="3" t="s">
        <v>27</v>
      </c>
      <c r="F96" s="12" t="s">
        <v>203</v>
      </c>
      <c r="G96" s="11"/>
      <c r="H96" s="11"/>
      <c r="I96" s="6"/>
      <c r="J96" s="6"/>
    </row>
    <row r="97">
      <c r="A97" s="7" t="s">
        <v>66</v>
      </c>
      <c r="B97" s="8">
        <v>7.000700605E9</v>
      </c>
      <c r="C97" s="7" t="s">
        <v>204</v>
      </c>
      <c r="D97" s="3" t="s">
        <v>11</v>
      </c>
      <c r="E97" s="3" t="s">
        <v>27</v>
      </c>
      <c r="F97" s="12" t="s">
        <v>205</v>
      </c>
      <c r="G97" s="11"/>
      <c r="H97" s="11"/>
      <c r="I97" s="6"/>
      <c r="J97" s="6"/>
    </row>
    <row r="98">
      <c r="A98" s="7" t="s">
        <v>66</v>
      </c>
      <c r="B98" s="8">
        <v>7.000700606E9</v>
      </c>
      <c r="C98" s="7" t="s">
        <v>206</v>
      </c>
      <c r="D98" s="3" t="s">
        <v>11</v>
      </c>
      <c r="E98" s="3" t="s">
        <v>27</v>
      </c>
      <c r="F98" s="12" t="s">
        <v>207</v>
      </c>
      <c r="G98" s="11"/>
      <c r="H98" s="11"/>
      <c r="I98" s="6"/>
      <c r="J98" s="6"/>
    </row>
    <row r="99">
      <c r="A99" s="7" t="s">
        <v>66</v>
      </c>
      <c r="B99" s="8">
        <v>2.000050548E9</v>
      </c>
      <c r="C99" s="7" t="s">
        <v>208</v>
      </c>
      <c r="D99" s="3" t="s">
        <v>11</v>
      </c>
      <c r="E99" s="3" t="s">
        <v>27</v>
      </c>
      <c r="F99" s="12" t="s">
        <v>209</v>
      </c>
      <c r="G99" s="11"/>
      <c r="H99" s="11"/>
      <c r="I99" s="6"/>
      <c r="J99" s="6"/>
    </row>
    <row r="100">
      <c r="A100" s="7" t="s">
        <v>66</v>
      </c>
      <c r="B100" s="8">
        <v>2.000050549E9</v>
      </c>
      <c r="C100" s="7" t="s">
        <v>210</v>
      </c>
      <c r="D100" s="3" t="s">
        <v>11</v>
      </c>
      <c r="E100" s="3" t="s">
        <v>27</v>
      </c>
      <c r="F100" s="12" t="s">
        <v>211</v>
      </c>
      <c r="G100" s="11"/>
      <c r="H100" s="11"/>
      <c r="I100" s="6"/>
      <c r="J100" s="6"/>
    </row>
    <row r="101">
      <c r="A101" s="7" t="s">
        <v>66</v>
      </c>
      <c r="B101" s="8">
        <v>2.00005055E9</v>
      </c>
      <c r="C101" s="7" t="s">
        <v>212</v>
      </c>
      <c r="D101" s="3" t="s">
        <v>11</v>
      </c>
      <c r="E101" s="3" t="s">
        <v>27</v>
      </c>
      <c r="F101" s="12" t="s">
        <v>213</v>
      </c>
      <c r="G101" s="11"/>
      <c r="H101" s="11"/>
      <c r="I101" s="6"/>
      <c r="J101" s="6"/>
    </row>
    <row r="102">
      <c r="A102" s="7" t="s">
        <v>66</v>
      </c>
      <c r="B102" s="8">
        <v>7.00070061E9</v>
      </c>
      <c r="C102" s="7" t="s">
        <v>214</v>
      </c>
      <c r="D102" s="3" t="s">
        <v>11</v>
      </c>
      <c r="E102" s="3" t="s">
        <v>30</v>
      </c>
      <c r="F102" s="10" t="s">
        <v>13</v>
      </c>
      <c r="G102" s="11"/>
      <c r="H102" s="11"/>
      <c r="I102" s="6"/>
      <c r="J102" s="6"/>
    </row>
    <row r="103">
      <c r="A103" s="7" t="s">
        <v>66</v>
      </c>
      <c r="B103" s="8">
        <v>7.000004468E9</v>
      </c>
      <c r="C103" s="17" t="s">
        <v>215</v>
      </c>
      <c r="D103" s="3" t="s">
        <v>11</v>
      </c>
      <c r="E103" s="3" t="s">
        <v>27</v>
      </c>
      <c r="F103" s="16" t="s">
        <v>216</v>
      </c>
      <c r="G103" s="11"/>
      <c r="H103" s="11"/>
      <c r="I103" s="6"/>
      <c r="J103" s="6"/>
    </row>
    <row r="104">
      <c r="A104" s="7" t="s">
        <v>66</v>
      </c>
      <c r="B104" s="8">
        <v>7.000700607E9</v>
      </c>
      <c r="C104" s="7" t="s">
        <v>217</v>
      </c>
      <c r="D104" s="3" t="s">
        <v>11</v>
      </c>
      <c r="E104" s="3" t="s">
        <v>27</v>
      </c>
      <c r="F104" s="12" t="s">
        <v>218</v>
      </c>
      <c r="G104" s="11"/>
      <c r="H104" s="11"/>
      <c r="I104" s="6"/>
      <c r="J104" s="6"/>
    </row>
    <row r="105">
      <c r="A105" s="7" t="s">
        <v>8</v>
      </c>
      <c r="B105" s="8">
        <v>7.000700608E9</v>
      </c>
      <c r="C105" s="7" t="s">
        <v>219</v>
      </c>
      <c r="D105" s="3" t="s">
        <v>11</v>
      </c>
      <c r="E105" s="3" t="s">
        <v>27</v>
      </c>
      <c r="F105" s="12" t="s">
        <v>220</v>
      </c>
      <c r="G105" s="11"/>
      <c r="H105" s="11"/>
      <c r="I105" s="6"/>
      <c r="J105" s="6"/>
    </row>
    <row r="106">
      <c r="A106" s="7" t="s">
        <v>66</v>
      </c>
      <c r="B106" s="8">
        <v>2.000050551E9</v>
      </c>
      <c r="C106" s="7" t="s">
        <v>221</v>
      </c>
      <c r="D106" s="3" t="s">
        <v>162</v>
      </c>
      <c r="E106" s="3" t="s">
        <v>59</v>
      </c>
      <c r="F106" s="12" t="s">
        <v>222</v>
      </c>
      <c r="G106" s="11"/>
      <c r="H106" s="11"/>
      <c r="I106" s="6"/>
      <c r="J106" s="6"/>
    </row>
    <row r="107">
      <c r="A107" s="7" t="s">
        <v>66</v>
      </c>
      <c r="B107" s="8">
        <v>2.000050552E9</v>
      </c>
      <c r="C107" s="7" t="s">
        <v>223</v>
      </c>
      <c r="D107" s="3" t="s">
        <v>11</v>
      </c>
      <c r="E107" s="3" t="s">
        <v>27</v>
      </c>
      <c r="F107" s="12" t="s">
        <v>224</v>
      </c>
      <c r="G107" s="11"/>
      <c r="H107" s="11"/>
      <c r="I107" s="6"/>
      <c r="J107" s="6"/>
    </row>
    <row r="108">
      <c r="A108" s="7" t="s">
        <v>66</v>
      </c>
      <c r="B108" s="8" t="s">
        <v>225</v>
      </c>
      <c r="C108" s="9" t="s">
        <v>226</v>
      </c>
      <c r="D108" s="3" t="s">
        <v>200</v>
      </c>
      <c r="E108" s="3" t="s">
        <v>59</v>
      </c>
      <c r="F108" s="18" t="s">
        <v>227</v>
      </c>
      <c r="G108" s="11"/>
      <c r="H108" s="11"/>
      <c r="I108" s="6"/>
      <c r="J108" s="6"/>
    </row>
    <row r="109">
      <c r="A109" s="7" t="s">
        <v>66</v>
      </c>
      <c r="B109" s="8" t="s">
        <v>228</v>
      </c>
      <c r="C109" s="9" t="s">
        <v>229</v>
      </c>
      <c r="D109" s="3" t="s">
        <v>179</v>
      </c>
      <c r="E109" s="3" t="s">
        <v>12</v>
      </c>
      <c r="F109" s="19" t="s">
        <v>230</v>
      </c>
      <c r="G109" s="11"/>
      <c r="H109" s="11"/>
      <c r="I109" s="6"/>
      <c r="J109" s="6"/>
    </row>
    <row r="110">
      <c r="A110" s="7" t="s">
        <v>66</v>
      </c>
      <c r="B110" s="8" t="s">
        <v>231</v>
      </c>
      <c r="C110" s="9" t="s">
        <v>232</v>
      </c>
      <c r="D110" s="3" t="s">
        <v>179</v>
      </c>
      <c r="E110" s="3" t="s">
        <v>12</v>
      </c>
      <c r="F110" s="19" t="s">
        <v>233</v>
      </c>
      <c r="G110" s="11"/>
      <c r="H110" s="11"/>
      <c r="I110" s="6"/>
      <c r="J110" s="6"/>
    </row>
    <row r="111">
      <c r="A111" s="7" t="s">
        <v>66</v>
      </c>
      <c r="B111" s="8">
        <v>2.000003039E9</v>
      </c>
      <c r="C111" s="9" t="s">
        <v>234</v>
      </c>
      <c r="D111" s="3" t="s">
        <v>179</v>
      </c>
      <c r="E111" s="3" t="s">
        <v>12</v>
      </c>
      <c r="F111" s="19" t="s">
        <v>235</v>
      </c>
      <c r="G111" s="11"/>
      <c r="H111" s="11"/>
      <c r="I111" s="6"/>
      <c r="J111" s="6"/>
    </row>
    <row r="112">
      <c r="A112" s="7" t="s">
        <v>66</v>
      </c>
      <c r="B112" s="8">
        <v>2.00000304E9</v>
      </c>
      <c r="C112" s="9" t="s">
        <v>236</v>
      </c>
      <c r="D112" s="3" t="s">
        <v>179</v>
      </c>
      <c r="E112" s="3" t="s">
        <v>12</v>
      </c>
      <c r="F112" s="19" t="s">
        <v>237</v>
      </c>
      <c r="G112" s="11"/>
      <c r="H112" s="11"/>
      <c r="I112" s="6"/>
      <c r="J112" s="6"/>
    </row>
    <row r="113">
      <c r="A113" s="7" t="s">
        <v>66</v>
      </c>
      <c r="B113" s="15">
        <v>2.000003087E9</v>
      </c>
      <c r="C113" s="9" t="s">
        <v>238</v>
      </c>
      <c r="D113" s="3" t="s">
        <v>179</v>
      </c>
      <c r="E113" s="3" t="s">
        <v>12</v>
      </c>
      <c r="F113" s="19" t="s">
        <v>239</v>
      </c>
      <c r="G113" s="11"/>
      <c r="H113" s="11"/>
      <c r="I113" s="6"/>
      <c r="J113" s="6"/>
    </row>
    <row r="114">
      <c r="A114" s="7" t="s">
        <v>66</v>
      </c>
      <c r="B114" s="8">
        <v>2.000050528E9</v>
      </c>
      <c r="C114" s="9" t="s">
        <v>240</v>
      </c>
      <c r="D114" s="3" t="s">
        <v>179</v>
      </c>
      <c r="E114" s="3" t="s">
        <v>12</v>
      </c>
      <c r="F114" s="19" t="s">
        <v>241</v>
      </c>
      <c r="G114" s="11"/>
      <c r="H114" s="11"/>
      <c r="I114" s="6"/>
      <c r="J114" s="6"/>
    </row>
    <row r="115">
      <c r="A115" s="7" t="s">
        <v>8</v>
      </c>
      <c r="B115" s="8">
        <v>2.00005053E9</v>
      </c>
      <c r="C115" s="9" t="s">
        <v>242</v>
      </c>
      <c r="D115" s="3" t="s">
        <v>179</v>
      </c>
      <c r="E115" s="3" t="s">
        <v>12</v>
      </c>
      <c r="F115" s="19" t="s">
        <v>243</v>
      </c>
      <c r="G115" s="11"/>
      <c r="H115" s="11"/>
      <c r="I115" s="6"/>
      <c r="J115" s="6"/>
    </row>
    <row r="116">
      <c r="A116" s="7" t="s">
        <v>66</v>
      </c>
      <c r="B116" s="8">
        <v>2.000050557E9</v>
      </c>
      <c r="C116" s="9" t="s">
        <v>244</v>
      </c>
      <c r="D116" s="3" t="s">
        <v>200</v>
      </c>
      <c r="E116" s="3" t="s">
        <v>12</v>
      </c>
      <c r="F116" s="19" t="s">
        <v>245</v>
      </c>
      <c r="G116" s="11"/>
      <c r="H116" s="11"/>
      <c r="I116" s="6"/>
      <c r="J116" s="6"/>
    </row>
    <row r="117">
      <c r="A117" s="7" t="s">
        <v>66</v>
      </c>
      <c r="B117" s="8" t="s">
        <v>246</v>
      </c>
      <c r="C117" s="9" t="s">
        <v>247</v>
      </c>
      <c r="D117" s="3" t="s">
        <v>179</v>
      </c>
      <c r="E117" s="3" t="s">
        <v>12</v>
      </c>
      <c r="F117" s="19" t="s">
        <v>248</v>
      </c>
      <c r="G117" s="11"/>
      <c r="H117" s="11"/>
      <c r="I117" s="6"/>
      <c r="J117" s="6"/>
    </row>
    <row r="118">
      <c r="A118" s="7" t="s">
        <v>66</v>
      </c>
      <c r="B118" s="8">
        <v>2.000002972E9</v>
      </c>
      <c r="C118" s="9" t="s">
        <v>249</v>
      </c>
      <c r="D118" s="3" t="s">
        <v>179</v>
      </c>
      <c r="E118" s="3" t="s">
        <v>12</v>
      </c>
      <c r="F118" s="19" t="s">
        <v>250</v>
      </c>
      <c r="G118" s="11"/>
      <c r="H118" s="11"/>
      <c r="I118" s="6"/>
      <c r="J118" s="6"/>
    </row>
    <row r="119">
      <c r="A119" s="7" t="s">
        <v>66</v>
      </c>
      <c r="B119" s="15" t="s">
        <v>251</v>
      </c>
      <c r="C119" s="7" t="s">
        <v>252</v>
      </c>
      <c r="D119" s="3" t="s">
        <v>58</v>
      </c>
      <c r="E119" s="3" t="s">
        <v>59</v>
      </c>
      <c r="F119" s="20" t="s">
        <v>253</v>
      </c>
      <c r="G119" s="11"/>
      <c r="H119" s="11"/>
      <c r="I119" s="6"/>
      <c r="J119" s="6"/>
    </row>
    <row r="120">
      <c r="A120" s="7" t="s">
        <v>66</v>
      </c>
      <c r="B120" s="8">
        <v>7.000005298E9</v>
      </c>
      <c r="C120" s="7" t="s">
        <v>254</v>
      </c>
      <c r="D120" s="3" t="s">
        <v>11</v>
      </c>
      <c r="E120" s="3" t="s">
        <v>27</v>
      </c>
      <c r="F120" s="19" t="s">
        <v>255</v>
      </c>
      <c r="G120" s="11"/>
      <c r="H120" s="11"/>
      <c r="I120" s="6"/>
      <c r="J120" s="6"/>
    </row>
    <row r="121">
      <c r="A121" s="7" t="s">
        <v>14</v>
      </c>
      <c r="B121" s="8">
        <v>7.000700612E9</v>
      </c>
      <c r="C121" s="7" t="s">
        <v>256</v>
      </c>
      <c r="D121" s="3" t="s">
        <v>11</v>
      </c>
      <c r="E121" s="3" t="s">
        <v>30</v>
      </c>
      <c r="F121" s="10" t="s">
        <v>37</v>
      </c>
      <c r="G121" s="11"/>
      <c r="H121" s="11"/>
      <c r="I121" s="6"/>
      <c r="J121" s="6"/>
    </row>
    <row r="122">
      <c r="A122" s="7" t="s">
        <v>8</v>
      </c>
      <c r="B122" s="8">
        <v>7.000700614E9</v>
      </c>
      <c r="C122" s="7" t="s">
        <v>257</v>
      </c>
      <c r="D122" s="3" t="s">
        <v>11</v>
      </c>
      <c r="E122" s="3" t="s">
        <v>27</v>
      </c>
      <c r="F122" s="19" t="s">
        <v>258</v>
      </c>
      <c r="G122" s="11"/>
      <c r="H122" s="11"/>
      <c r="I122" s="6"/>
      <c r="J122" s="6"/>
    </row>
    <row r="123">
      <c r="A123" s="7" t="s">
        <v>66</v>
      </c>
      <c r="B123" s="8">
        <v>7.000700615E9</v>
      </c>
      <c r="C123" s="7" t="s">
        <v>259</v>
      </c>
      <c r="D123" s="3" t="s">
        <v>11</v>
      </c>
      <c r="E123" s="3" t="s">
        <v>27</v>
      </c>
      <c r="F123" s="19" t="s">
        <v>260</v>
      </c>
      <c r="G123" s="11"/>
      <c r="H123" s="11"/>
      <c r="I123" s="6"/>
      <c r="J123" s="6"/>
    </row>
    <row r="124">
      <c r="A124" s="7" t="s">
        <v>66</v>
      </c>
      <c r="B124" s="8">
        <v>7.000700618E9</v>
      </c>
      <c r="C124" s="7" t="s">
        <v>261</v>
      </c>
      <c r="D124" s="3" t="s">
        <v>11</v>
      </c>
      <c r="E124" s="3" t="s">
        <v>30</v>
      </c>
      <c r="F124" s="10" t="s">
        <v>37</v>
      </c>
      <c r="G124" s="11"/>
      <c r="H124" s="11"/>
      <c r="I124" s="6"/>
      <c r="J124" s="6"/>
    </row>
    <row r="125">
      <c r="A125" s="7" t="s">
        <v>8</v>
      </c>
      <c r="B125" s="8">
        <v>7.000700619E9</v>
      </c>
      <c r="C125" s="7" t="s">
        <v>262</v>
      </c>
      <c r="D125" s="3" t="s">
        <v>11</v>
      </c>
      <c r="E125" s="3" t="s">
        <v>27</v>
      </c>
      <c r="F125" s="19" t="s">
        <v>263</v>
      </c>
      <c r="G125" s="11"/>
      <c r="H125" s="11"/>
      <c r="I125" s="6"/>
      <c r="J125" s="6"/>
    </row>
    <row r="126">
      <c r="A126" s="7" t="s">
        <v>8</v>
      </c>
      <c r="B126" s="8">
        <v>2.000050553E9</v>
      </c>
      <c r="C126" s="7" t="s">
        <v>264</v>
      </c>
      <c r="D126" s="3" t="s">
        <v>11</v>
      </c>
      <c r="E126" s="3" t="s">
        <v>30</v>
      </c>
      <c r="F126" s="10" t="s">
        <v>37</v>
      </c>
      <c r="G126" s="11"/>
      <c r="H126" s="11"/>
      <c r="I126" s="6"/>
      <c r="J126" s="6"/>
    </row>
    <row r="127">
      <c r="A127" s="7" t="s">
        <v>66</v>
      </c>
      <c r="B127" s="8">
        <v>2.000050554E9</v>
      </c>
      <c r="C127" s="7" t="s">
        <v>265</v>
      </c>
      <c r="D127" s="3" t="s">
        <v>11</v>
      </c>
      <c r="E127" s="3" t="s">
        <v>30</v>
      </c>
      <c r="F127" s="10" t="s">
        <v>37</v>
      </c>
      <c r="G127" s="11"/>
      <c r="H127" s="11"/>
      <c r="I127" s="6"/>
      <c r="J127" s="6"/>
    </row>
    <row r="128">
      <c r="A128" s="7" t="s">
        <v>66</v>
      </c>
      <c r="B128" s="15" t="s">
        <v>266</v>
      </c>
      <c r="C128" s="7" t="s">
        <v>267</v>
      </c>
      <c r="D128" s="3" t="s">
        <v>58</v>
      </c>
      <c r="E128" s="3" t="s">
        <v>59</v>
      </c>
      <c r="F128" s="19" t="s">
        <v>268</v>
      </c>
      <c r="G128" s="11"/>
      <c r="H128" s="11"/>
      <c r="I128" s="6"/>
      <c r="J128" s="6"/>
    </row>
    <row r="129">
      <c r="A129" s="7" t="s">
        <v>66</v>
      </c>
      <c r="B129" s="8">
        <v>7.00070062E9</v>
      </c>
      <c r="C129" s="7" t="s">
        <v>269</v>
      </c>
      <c r="D129" s="3" t="s">
        <v>11</v>
      </c>
      <c r="E129" s="3" t="s">
        <v>30</v>
      </c>
      <c r="F129" s="10" t="s">
        <v>37</v>
      </c>
      <c r="G129" s="11"/>
      <c r="H129" s="11"/>
      <c r="I129" s="6"/>
      <c r="J129" s="6"/>
    </row>
    <row r="130">
      <c r="A130" s="7" t="s">
        <v>66</v>
      </c>
      <c r="B130" s="8">
        <v>7.000700621E9</v>
      </c>
      <c r="C130" s="7" t="s">
        <v>270</v>
      </c>
      <c r="D130" s="3" t="s">
        <v>11</v>
      </c>
      <c r="E130" s="3" t="s">
        <v>30</v>
      </c>
      <c r="F130" s="10" t="s">
        <v>37</v>
      </c>
      <c r="G130" s="11"/>
      <c r="H130" s="11"/>
      <c r="I130" s="6"/>
      <c r="J130" s="6"/>
    </row>
    <row r="131">
      <c r="A131" s="7" t="s">
        <v>66</v>
      </c>
      <c r="B131" s="8">
        <v>7.000700622E9</v>
      </c>
      <c r="C131" s="7" t="s">
        <v>271</v>
      </c>
      <c r="D131" s="3" t="s">
        <v>58</v>
      </c>
      <c r="E131" s="3" t="s">
        <v>59</v>
      </c>
      <c r="F131" s="19" t="s">
        <v>272</v>
      </c>
      <c r="G131" s="11"/>
      <c r="H131" s="11"/>
      <c r="I131" s="6"/>
      <c r="J131" s="6"/>
    </row>
    <row r="132">
      <c r="A132" s="7" t="s">
        <v>66</v>
      </c>
      <c r="B132" s="8">
        <v>2.000050555E9</v>
      </c>
      <c r="C132" s="7" t="s">
        <v>273</v>
      </c>
      <c r="D132" s="3" t="s">
        <v>162</v>
      </c>
      <c r="E132" s="3" t="s">
        <v>59</v>
      </c>
      <c r="F132" s="19" t="s">
        <v>274</v>
      </c>
      <c r="G132" s="11"/>
      <c r="H132" s="11"/>
      <c r="I132" s="6"/>
      <c r="J132" s="6"/>
    </row>
    <row r="133">
      <c r="A133" s="7" t="s">
        <v>66</v>
      </c>
      <c r="B133" s="8" t="s">
        <v>275</v>
      </c>
      <c r="C133" s="7" t="s">
        <v>276</v>
      </c>
      <c r="D133" s="3" t="s">
        <v>162</v>
      </c>
      <c r="E133" s="3" t="s">
        <v>59</v>
      </c>
      <c r="F133" s="19" t="s">
        <v>277</v>
      </c>
      <c r="G133" s="11"/>
      <c r="H133" s="11"/>
      <c r="I133" s="6"/>
      <c r="J133" s="6"/>
    </row>
    <row r="134">
      <c r="A134" s="7" t="s">
        <v>8</v>
      </c>
      <c r="B134" s="8">
        <v>7.000700625E9</v>
      </c>
      <c r="C134" s="7" t="s">
        <v>278</v>
      </c>
      <c r="D134" s="3" t="s">
        <v>11</v>
      </c>
      <c r="E134" s="3" t="s">
        <v>27</v>
      </c>
      <c r="F134" s="19" t="s">
        <v>279</v>
      </c>
      <c r="G134" s="11"/>
      <c r="H134" s="11"/>
      <c r="I134" s="6"/>
      <c r="J134" s="6"/>
    </row>
    <row r="135">
      <c r="A135" s="7" t="s">
        <v>66</v>
      </c>
      <c r="B135" s="8">
        <v>7.000700626E9</v>
      </c>
      <c r="C135" s="7" t="s">
        <v>280</v>
      </c>
      <c r="D135" s="3" t="s">
        <v>11</v>
      </c>
      <c r="E135" s="3" t="s">
        <v>27</v>
      </c>
      <c r="F135" s="19" t="s">
        <v>281</v>
      </c>
      <c r="G135" s="11"/>
      <c r="H135" s="11"/>
      <c r="I135" s="6"/>
      <c r="J135" s="6"/>
    </row>
    <row r="136">
      <c r="A136" s="7" t="s">
        <v>66</v>
      </c>
      <c r="B136" s="8">
        <v>7.000700627E9</v>
      </c>
      <c r="C136" s="7" t="s">
        <v>282</v>
      </c>
      <c r="D136" s="3" t="s">
        <v>11</v>
      </c>
      <c r="E136" s="3" t="s">
        <v>30</v>
      </c>
      <c r="F136" s="10" t="s">
        <v>37</v>
      </c>
      <c r="G136" s="11"/>
      <c r="H136" s="11"/>
      <c r="I136" s="6"/>
      <c r="J136" s="6"/>
    </row>
    <row r="137">
      <c r="A137" s="7" t="s">
        <v>66</v>
      </c>
      <c r="B137" s="8">
        <v>7.000700628E9</v>
      </c>
      <c r="C137" s="7" t="s">
        <v>283</v>
      </c>
      <c r="D137" s="3" t="s">
        <v>11</v>
      </c>
      <c r="E137" s="3" t="s">
        <v>27</v>
      </c>
      <c r="F137" s="19" t="s">
        <v>284</v>
      </c>
      <c r="G137" s="11"/>
      <c r="H137" s="11"/>
      <c r="I137" s="6"/>
      <c r="J137" s="6"/>
    </row>
    <row r="138">
      <c r="A138" s="7" t="s">
        <v>66</v>
      </c>
      <c r="B138" s="8">
        <v>2.000003019E9</v>
      </c>
      <c r="C138" s="7" t="s">
        <v>285</v>
      </c>
      <c r="D138" s="3" t="s">
        <v>200</v>
      </c>
      <c r="E138" s="3" t="s">
        <v>59</v>
      </c>
      <c r="F138" s="19" t="s">
        <v>286</v>
      </c>
      <c r="G138" s="11"/>
      <c r="H138" s="11"/>
      <c r="I138" s="6"/>
      <c r="J138" s="6"/>
    </row>
    <row r="139">
      <c r="A139" s="7" t="s">
        <v>66</v>
      </c>
      <c r="B139" s="15">
        <v>7.000000167E9</v>
      </c>
      <c r="C139" s="7" t="s">
        <v>287</v>
      </c>
      <c r="D139" s="3" t="s">
        <v>11</v>
      </c>
      <c r="E139" s="3" t="s">
        <v>27</v>
      </c>
      <c r="F139" s="19" t="s">
        <v>288</v>
      </c>
      <c r="G139" s="11"/>
      <c r="H139" s="11"/>
      <c r="I139" s="6"/>
      <c r="J139" s="6"/>
    </row>
    <row r="140">
      <c r="A140" s="7" t="s">
        <v>66</v>
      </c>
      <c r="B140" s="15">
        <v>7.000000077E9</v>
      </c>
      <c r="C140" s="7" t="s">
        <v>289</v>
      </c>
      <c r="D140" s="3" t="s">
        <v>11</v>
      </c>
      <c r="E140" s="3" t="s">
        <v>30</v>
      </c>
      <c r="F140" s="10" t="s">
        <v>37</v>
      </c>
      <c r="G140" s="11"/>
      <c r="H140" s="11"/>
      <c r="I140" s="6"/>
      <c r="J140" s="6"/>
    </row>
    <row r="141">
      <c r="A141" s="7" t="s">
        <v>8</v>
      </c>
      <c r="B141" s="8">
        <v>7.000700557E9</v>
      </c>
      <c r="C141" s="7" t="s">
        <v>290</v>
      </c>
      <c r="D141" s="3" t="s">
        <v>11</v>
      </c>
      <c r="E141" s="3" t="s">
        <v>27</v>
      </c>
      <c r="F141" s="19" t="s">
        <v>291</v>
      </c>
      <c r="G141" s="11"/>
      <c r="H141" s="11"/>
      <c r="I141" s="6"/>
      <c r="J141" s="6"/>
    </row>
    <row r="142">
      <c r="A142" s="7" t="s">
        <v>8</v>
      </c>
      <c r="B142" s="8">
        <v>7.000700629E9</v>
      </c>
      <c r="C142" s="7" t="s">
        <v>292</v>
      </c>
      <c r="D142" s="3" t="s">
        <v>58</v>
      </c>
      <c r="E142" s="3" t="s">
        <v>59</v>
      </c>
      <c r="F142" s="19" t="s">
        <v>293</v>
      </c>
      <c r="G142" s="11"/>
      <c r="H142" s="11"/>
      <c r="I142" s="6"/>
      <c r="J142" s="6"/>
    </row>
    <row r="143">
      <c r="A143" s="7" t="s">
        <v>66</v>
      </c>
      <c r="B143" s="8">
        <v>7.00070063E9</v>
      </c>
      <c r="C143" s="9" t="s">
        <v>294</v>
      </c>
      <c r="D143" s="3" t="s">
        <v>11</v>
      </c>
      <c r="E143" s="3" t="s">
        <v>27</v>
      </c>
      <c r="F143" s="21" t="s">
        <v>295</v>
      </c>
      <c r="G143" s="11"/>
      <c r="H143" s="11"/>
      <c r="I143" s="6"/>
      <c r="J143" s="6"/>
    </row>
    <row r="144">
      <c r="A144" s="7" t="s">
        <v>66</v>
      </c>
      <c r="B144" s="8">
        <v>7.000700631E9</v>
      </c>
      <c r="C144" s="7" t="s">
        <v>296</v>
      </c>
      <c r="D144" s="3" t="s">
        <v>11</v>
      </c>
      <c r="E144" s="3" t="s">
        <v>27</v>
      </c>
      <c r="F144" s="21" t="s">
        <v>297</v>
      </c>
      <c r="G144" s="11"/>
      <c r="H144" s="3" t="s">
        <v>298</v>
      </c>
      <c r="I144" s="6"/>
      <c r="J144" s="6"/>
    </row>
    <row r="145">
      <c r="A145" s="7" t="s">
        <v>66</v>
      </c>
      <c r="B145" s="8">
        <v>7.000700632E9</v>
      </c>
      <c r="C145" s="7" t="s">
        <v>299</v>
      </c>
      <c r="D145" s="3" t="s">
        <v>11</v>
      </c>
      <c r="E145" s="3" t="s">
        <v>30</v>
      </c>
      <c r="F145" s="10" t="s">
        <v>37</v>
      </c>
      <c r="G145" s="11"/>
      <c r="H145" s="11"/>
      <c r="I145" s="6"/>
      <c r="J145" s="6"/>
    </row>
    <row r="146">
      <c r="A146" s="7" t="s">
        <v>66</v>
      </c>
      <c r="B146" s="8">
        <v>7.000700633E9</v>
      </c>
      <c r="C146" s="7" t="s">
        <v>300</v>
      </c>
      <c r="D146" s="3" t="s">
        <v>11</v>
      </c>
      <c r="E146" s="3" t="s">
        <v>30</v>
      </c>
      <c r="F146" s="10" t="s">
        <v>37</v>
      </c>
      <c r="G146" s="11"/>
      <c r="H146" s="11"/>
      <c r="I146" s="6"/>
      <c r="J146" s="6"/>
    </row>
    <row r="147">
      <c r="A147" s="7" t="s">
        <v>8</v>
      </c>
      <c r="B147" s="8">
        <v>7.000005458E9</v>
      </c>
      <c r="C147" s="7" t="s">
        <v>301</v>
      </c>
      <c r="D147" s="3" t="s">
        <v>11</v>
      </c>
      <c r="E147" s="3" t="s">
        <v>27</v>
      </c>
      <c r="F147" s="19" t="s">
        <v>302</v>
      </c>
      <c r="G147" s="11"/>
      <c r="H147" s="11"/>
      <c r="I147" s="6"/>
      <c r="J147" s="6"/>
    </row>
    <row r="148">
      <c r="A148" s="7" t="s">
        <v>66</v>
      </c>
      <c r="B148" s="8">
        <v>2.000050556E9</v>
      </c>
      <c r="C148" s="7" t="s">
        <v>303</v>
      </c>
      <c r="D148" s="3" t="s">
        <v>11</v>
      </c>
      <c r="E148" s="3" t="s">
        <v>30</v>
      </c>
      <c r="F148" s="10" t="s">
        <v>37</v>
      </c>
      <c r="G148" s="11"/>
      <c r="H148" s="11"/>
      <c r="I148" s="6"/>
      <c r="J148" s="6"/>
    </row>
    <row r="149">
      <c r="A149" s="7" t="s">
        <v>66</v>
      </c>
      <c r="B149" s="8">
        <v>2.000050558E9</v>
      </c>
      <c r="C149" s="7" t="s">
        <v>304</v>
      </c>
      <c r="D149" s="3" t="s">
        <v>11</v>
      </c>
      <c r="E149" s="3" t="s">
        <v>27</v>
      </c>
      <c r="F149" s="19" t="s">
        <v>305</v>
      </c>
      <c r="G149" s="11"/>
      <c r="H149" s="11"/>
      <c r="I149" s="6"/>
      <c r="J149" s="6"/>
    </row>
    <row r="150">
      <c r="A150" s="7" t="s">
        <v>66</v>
      </c>
      <c r="B150" s="8">
        <v>2.00005056E9</v>
      </c>
      <c r="C150" s="7" t="s">
        <v>306</v>
      </c>
      <c r="D150" s="3" t="s">
        <v>11</v>
      </c>
      <c r="E150" s="3" t="s">
        <v>30</v>
      </c>
      <c r="F150" s="10" t="s">
        <v>37</v>
      </c>
      <c r="G150" s="11"/>
      <c r="H150" s="11"/>
      <c r="I150" s="6"/>
      <c r="J150" s="6"/>
    </row>
    <row r="151">
      <c r="A151" s="7" t="s">
        <v>66</v>
      </c>
      <c r="B151" s="8">
        <v>7.00000002E9</v>
      </c>
      <c r="C151" s="7" t="s">
        <v>307</v>
      </c>
      <c r="D151" s="3" t="s">
        <v>11</v>
      </c>
      <c r="E151" s="3" t="s">
        <v>27</v>
      </c>
      <c r="F151" s="19" t="s">
        <v>308</v>
      </c>
      <c r="G151" s="11"/>
      <c r="H151" s="11"/>
      <c r="I151" s="6"/>
      <c r="J151" s="6"/>
    </row>
    <row r="152">
      <c r="A152" s="7" t="s">
        <v>66</v>
      </c>
      <c r="B152" s="8">
        <v>7.000700553E9</v>
      </c>
      <c r="C152" s="7" t="s">
        <v>309</v>
      </c>
      <c r="D152" s="3" t="s">
        <v>11</v>
      </c>
      <c r="E152" s="3" t="s">
        <v>30</v>
      </c>
      <c r="F152" s="10" t="s">
        <v>37</v>
      </c>
      <c r="G152" s="11"/>
      <c r="H152" s="11"/>
      <c r="I152" s="6"/>
      <c r="J152" s="6"/>
    </row>
    <row r="153">
      <c r="A153" s="7" t="s">
        <v>66</v>
      </c>
      <c r="B153" s="8">
        <v>7.000700634E9</v>
      </c>
      <c r="C153" s="7" t="s">
        <v>310</v>
      </c>
      <c r="D153" s="3" t="s">
        <v>11</v>
      </c>
      <c r="E153" s="3" t="s">
        <v>27</v>
      </c>
      <c r="F153" s="19" t="s">
        <v>311</v>
      </c>
      <c r="G153" s="11"/>
      <c r="H153" s="11"/>
      <c r="I153" s="6"/>
      <c r="J153" s="6"/>
    </row>
    <row r="154">
      <c r="A154" s="7" t="s">
        <v>8</v>
      </c>
      <c r="B154" s="8">
        <v>7.000700636E9</v>
      </c>
      <c r="C154" s="7" t="s">
        <v>312</v>
      </c>
      <c r="D154" s="3" t="s">
        <v>11</v>
      </c>
      <c r="E154" s="3" t="s">
        <v>30</v>
      </c>
      <c r="F154" s="10" t="s">
        <v>37</v>
      </c>
      <c r="G154" s="11"/>
      <c r="H154" s="11"/>
      <c r="I154" s="6"/>
      <c r="J154" s="6"/>
    </row>
    <row r="155">
      <c r="A155" s="7" t="s">
        <v>313</v>
      </c>
      <c r="B155" s="8">
        <v>7.000700638E9</v>
      </c>
      <c r="C155" s="7" t="s">
        <v>314</v>
      </c>
      <c r="D155" s="3" t="s">
        <v>11</v>
      </c>
      <c r="E155" s="3" t="s">
        <v>30</v>
      </c>
      <c r="F155" s="10" t="s">
        <v>37</v>
      </c>
      <c r="G155" s="11"/>
      <c r="H155" s="11"/>
      <c r="I155" s="6"/>
      <c r="J155" s="6"/>
    </row>
    <row r="156">
      <c r="A156" s="7" t="s">
        <v>66</v>
      </c>
      <c r="B156" s="8">
        <v>7.000700639E9</v>
      </c>
      <c r="C156" s="7" t="s">
        <v>315</v>
      </c>
      <c r="D156" s="3" t="s">
        <v>11</v>
      </c>
      <c r="E156" s="3" t="s">
        <v>30</v>
      </c>
      <c r="F156" s="10" t="s">
        <v>37</v>
      </c>
      <c r="G156" s="11"/>
      <c r="H156" s="11"/>
      <c r="I156" s="6"/>
      <c r="J156" s="6"/>
    </row>
    <row r="157">
      <c r="A157" s="7" t="s">
        <v>66</v>
      </c>
      <c r="B157" s="8">
        <v>2.000050561E9</v>
      </c>
      <c r="C157" s="7" t="s">
        <v>316</v>
      </c>
      <c r="D157" s="3" t="s">
        <v>162</v>
      </c>
      <c r="E157" s="3" t="s">
        <v>59</v>
      </c>
      <c r="F157" s="21" t="s">
        <v>317</v>
      </c>
      <c r="G157" s="11"/>
      <c r="H157" s="11"/>
      <c r="I157" s="6"/>
      <c r="J157" s="6"/>
    </row>
    <row r="158">
      <c r="A158" s="7" t="s">
        <v>66</v>
      </c>
      <c r="B158" s="8">
        <v>2.000050562E9</v>
      </c>
      <c r="C158" s="7" t="s">
        <v>318</v>
      </c>
      <c r="D158" s="3" t="s">
        <v>58</v>
      </c>
      <c r="E158" s="3" t="s">
        <v>30</v>
      </c>
      <c r="F158" s="10" t="s">
        <v>37</v>
      </c>
      <c r="G158" s="11"/>
      <c r="H158" s="11"/>
      <c r="I158" s="6"/>
      <c r="J158" s="6"/>
    </row>
    <row r="159">
      <c r="A159" s="7" t="s">
        <v>66</v>
      </c>
      <c r="B159" s="15">
        <v>7.000002395E9</v>
      </c>
      <c r="C159" s="7" t="s">
        <v>319</v>
      </c>
      <c r="D159" s="3" t="s">
        <v>11</v>
      </c>
      <c r="E159" s="3" t="s">
        <v>27</v>
      </c>
      <c r="F159" s="21" t="s">
        <v>320</v>
      </c>
      <c r="G159" s="11"/>
      <c r="H159" s="11"/>
      <c r="I159" s="6"/>
      <c r="J159" s="6"/>
    </row>
    <row r="160">
      <c r="A160" s="7" t="s">
        <v>66</v>
      </c>
      <c r="B160" s="8">
        <v>7.000700506E9</v>
      </c>
      <c r="C160" s="7" t="s">
        <v>321</v>
      </c>
      <c r="D160" s="3" t="s">
        <v>11</v>
      </c>
      <c r="E160" s="3" t="s">
        <v>27</v>
      </c>
      <c r="F160" s="19" t="s">
        <v>322</v>
      </c>
      <c r="G160" s="11"/>
      <c r="H160" s="11"/>
      <c r="I160" s="6"/>
      <c r="J160" s="6"/>
    </row>
    <row r="161">
      <c r="A161" s="7" t="s">
        <v>66</v>
      </c>
      <c r="B161" s="8">
        <v>7.00070064E9</v>
      </c>
      <c r="C161" s="7" t="s">
        <v>323</v>
      </c>
      <c r="D161" s="3" t="s">
        <v>11</v>
      </c>
      <c r="E161" s="3" t="s">
        <v>324</v>
      </c>
      <c r="F161" s="19" t="s">
        <v>325</v>
      </c>
      <c r="G161" s="11"/>
      <c r="H161" s="11"/>
      <c r="I161" s="6"/>
      <c r="J161" s="6"/>
    </row>
    <row r="162">
      <c r="A162" s="7" t="s">
        <v>66</v>
      </c>
      <c r="B162" s="8">
        <v>7.000700641E9</v>
      </c>
      <c r="C162" s="7" t="s">
        <v>326</v>
      </c>
      <c r="D162" s="3" t="s">
        <v>11</v>
      </c>
      <c r="E162" s="3" t="s">
        <v>12</v>
      </c>
      <c r="F162" s="19" t="s">
        <v>327</v>
      </c>
      <c r="G162" s="11"/>
      <c r="H162" s="11"/>
      <c r="I162" s="6"/>
      <c r="J162" s="6"/>
    </row>
    <row r="163">
      <c r="A163" s="7" t="s">
        <v>66</v>
      </c>
      <c r="B163" s="8">
        <v>7.000700642E9</v>
      </c>
      <c r="C163" s="7" t="s">
        <v>328</v>
      </c>
      <c r="D163" s="3" t="s">
        <v>11</v>
      </c>
      <c r="E163" s="3" t="s">
        <v>30</v>
      </c>
      <c r="F163" s="10" t="s">
        <v>37</v>
      </c>
      <c r="G163" s="11"/>
      <c r="H163" s="11"/>
      <c r="I163" s="6"/>
      <c r="J163" s="6"/>
    </row>
    <row r="164">
      <c r="A164" s="7" t="s">
        <v>66</v>
      </c>
      <c r="B164" s="8">
        <v>7.000700643E9</v>
      </c>
      <c r="C164" s="7" t="s">
        <v>329</v>
      </c>
      <c r="D164" s="3" t="s">
        <v>11</v>
      </c>
      <c r="E164" s="3" t="s">
        <v>30</v>
      </c>
      <c r="F164" s="10" t="s">
        <v>37</v>
      </c>
      <c r="G164" s="11"/>
      <c r="H164" s="11"/>
      <c r="I164" s="6"/>
      <c r="J164" s="6"/>
    </row>
    <row r="165">
      <c r="A165" s="7" t="s">
        <v>66</v>
      </c>
      <c r="B165" s="8">
        <v>7.000700644E9</v>
      </c>
      <c r="C165" s="7" t="s">
        <v>330</v>
      </c>
      <c r="D165" s="3" t="s">
        <v>11</v>
      </c>
      <c r="E165" s="3" t="s">
        <v>324</v>
      </c>
      <c r="F165" s="19" t="s">
        <v>331</v>
      </c>
      <c r="G165" s="11"/>
      <c r="H165" s="11"/>
      <c r="I165" s="6"/>
      <c r="J165" s="6"/>
    </row>
    <row r="166">
      <c r="A166" s="7" t="s">
        <v>66</v>
      </c>
      <c r="B166" s="8">
        <v>7.000700645E9</v>
      </c>
      <c r="C166" s="7" t="s">
        <v>332</v>
      </c>
      <c r="D166" s="3" t="s">
        <v>11</v>
      </c>
      <c r="E166" s="3" t="s">
        <v>324</v>
      </c>
      <c r="F166" s="19" t="s">
        <v>333</v>
      </c>
      <c r="G166" s="11"/>
      <c r="H166" s="11"/>
      <c r="I166" s="6"/>
      <c r="J166" s="6"/>
    </row>
    <row r="167">
      <c r="A167" s="7" t="s">
        <v>8</v>
      </c>
      <c r="B167" s="8">
        <v>7.000700646E9</v>
      </c>
      <c r="C167" s="7" t="s">
        <v>334</v>
      </c>
      <c r="D167" s="3" t="s">
        <v>11</v>
      </c>
      <c r="E167" s="3" t="s">
        <v>30</v>
      </c>
      <c r="F167" s="10" t="s">
        <v>37</v>
      </c>
      <c r="G167" s="11"/>
      <c r="H167" s="11"/>
      <c r="I167" s="6"/>
      <c r="J167" s="6"/>
    </row>
    <row r="168">
      <c r="A168" s="7" t="s">
        <v>66</v>
      </c>
      <c r="B168" s="8">
        <v>7.000700647E9</v>
      </c>
      <c r="C168" s="7" t="s">
        <v>335</v>
      </c>
      <c r="D168" s="3" t="s">
        <v>11</v>
      </c>
      <c r="E168" s="3" t="s">
        <v>324</v>
      </c>
      <c r="F168" s="19" t="s">
        <v>336</v>
      </c>
      <c r="G168" s="11"/>
      <c r="H168" s="11"/>
      <c r="I168" s="6"/>
      <c r="J168" s="6"/>
    </row>
    <row r="169">
      <c r="A169" s="7" t="s">
        <v>66</v>
      </c>
      <c r="B169" s="8">
        <v>7.000700648E9</v>
      </c>
      <c r="C169" s="7" t="s">
        <v>337</v>
      </c>
      <c r="D169" s="3" t="s">
        <v>11</v>
      </c>
      <c r="E169" s="3" t="s">
        <v>324</v>
      </c>
      <c r="F169" s="19" t="s">
        <v>338</v>
      </c>
      <c r="G169" s="11"/>
      <c r="H169" s="11"/>
      <c r="I169" s="6"/>
      <c r="J169" s="6"/>
    </row>
    <row r="170">
      <c r="A170" s="7" t="s">
        <v>66</v>
      </c>
      <c r="B170" s="8">
        <v>7.000700649E9</v>
      </c>
      <c r="C170" s="7" t="s">
        <v>339</v>
      </c>
      <c r="D170" s="3" t="s">
        <v>11</v>
      </c>
      <c r="E170" s="3" t="s">
        <v>30</v>
      </c>
      <c r="F170" s="10" t="s">
        <v>37</v>
      </c>
      <c r="G170" s="11"/>
      <c r="H170" s="11"/>
      <c r="I170" s="6"/>
      <c r="J170" s="6"/>
    </row>
    <row r="171">
      <c r="A171" s="7" t="s">
        <v>66</v>
      </c>
      <c r="B171" s="8">
        <v>2.000050563E9</v>
      </c>
      <c r="C171" s="7" t="s">
        <v>340</v>
      </c>
      <c r="D171" s="3" t="s">
        <v>162</v>
      </c>
      <c r="E171" s="3" t="s">
        <v>59</v>
      </c>
      <c r="F171" s="19" t="s">
        <v>341</v>
      </c>
      <c r="G171" s="11"/>
      <c r="H171" s="11"/>
      <c r="I171" s="6"/>
      <c r="J171" s="6"/>
    </row>
    <row r="172">
      <c r="A172" s="7" t="s">
        <v>66</v>
      </c>
      <c r="B172" s="8">
        <v>2.000050564E9</v>
      </c>
      <c r="C172" s="7" t="s">
        <v>342</v>
      </c>
      <c r="D172" s="3" t="s">
        <v>58</v>
      </c>
      <c r="E172" s="3" t="s">
        <v>59</v>
      </c>
      <c r="F172" s="19" t="s">
        <v>343</v>
      </c>
      <c r="G172" s="11"/>
      <c r="H172" s="11"/>
      <c r="I172" s="6"/>
      <c r="J172" s="6"/>
    </row>
    <row r="173">
      <c r="A173" s="7" t="s">
        <v>66</v>
      </c>
      <c r="B173" s="8">
        <v>7.00070051E9</v>
      </c>
      <c r="C173" s="9" t="s">
        <v>344</v>
      </c>
      <c r="D173" s="3" t="s">
        <v>11</v>
      </c>
      <c r="E173" s="3" t="s">
        <v>324</v>
      </c>
      <c r="F173" s="21" t="s">
        <v>345</v>
      </c>
      <c r="G173" s="11"/>
      <c r="H173" s="11"/>
      <c r="I173" s="6"/>
      <c r="J173" s="6"/>
    </row>
    <row r="174">
      <c r="A174" s="7" t="s">
        <v>8</v>
      </c>
      <c r="B174" s="8">
        <v>7.000700524E9</v>
      </c>
      <c r="C174" s="7" t="s">
        <v>346</v>
      </c>
      <c r="D174" s="3" t="s">
        <v>11</v>
      </c>
      <c r="E174" s="3" t="s">
        <v>30</v>
      </c>
      <c r="F174" s="10" t="s">
        <v>37</v>
      </c>
      <c r="G174" s="11"/>
      <c r="H174" s="11"/>
      <c r="I174" s="6"/>
      <c r="J174" s="6"/>
    </row>
    <row r="175">
      <c r="A175" s="7" t="s">
        <v>66</v>
      </c>
      <c r="B175" s="8">
        <v>7.000700585E9</v>
      </c>
      <c r="C175" s="7" t="s">
        <v>347</v>
      </c>
      <c r="D175" s="3" t="s">
        <v>11</v>
      </c>
      <c r="E175" s="3" t="s">
        <v>30</v>
      </c>
      <c r="F175" s="10" t="s">
        <v>37</v>
      </c>
      <c r="G175" s="11"/>
      <c r="H175" s="11"/>
      <c r="I175" s="6"/>
      <c r="J175" s="6"/>
    </row>
    <row r="176">
      <c r="A176" s="7" t="s">
        <v>8</v>
      </c>
      <c r="B176" s="8">
        <v>7.000000028E9</v>
      </c>
      <c r="C176" s="7" t="s">
        <v>348</v>
      </c>
      <c r="D176" s="3" t="s">
        <v>11</v>
      </c>
      <c r="E176" s="3" t="s">
        <v>30</v>
      </c>
      <c r="F176" s="10" t="s">
        <v>37</v>
      </c>
      <c r="G176" s="11"/>
      <c r="H176" s="11"/>
      <c r="I176" s="6"/>
      <c r="J176" s="6"/>
    </row>
    <row r="177">
      <c r="A177" s="7" t="s">
        <v>8</v>
      </c>
      <c r="B177" s="8">
        <v>7.000000569E9</v>
      </c>
      <c r="C177" s="7" t="s">
        <v>349</v>
      </c>
      <c r="D177" s="3" t="s">
        <v>11</v>
      </c>
      <c r="E177" s="3" t="s">
        <v>30</v>
      </c>
      <c r="F177" s="10" t="s">
        <v>37</v>
      </c>
      <c r="G177" s="11"/>
      <c r="H177" s="11"/>
      <c r="I177" s="6"/>
      <c r="J177" s="6"/>
    </row>
    <row r="178">
      <c r="A178" s="7" t="s">
        <v>8</v>
      </c>
      <c r="B178" s="8">
        <v>7.000000674E9</v>
      </c>
      <c r="C178" s="7" t="s">
        <v>350</v>
      </c>
      <c r="D178" s="3" t="s">
        <v>11</v>
      </c>
      <c r="E178" s="3" t="s">
        <v>324</v>
      </c>
      <c r="F178" s="22" t="s">
        <v>351</v>
      </c>
      <c r="G178" s="11"/>
      <c r="H178" s="3" t="s">
        <v>298</v>
      </c>
      <c r="I178" s="6"/>
      <c r="J178" s="6"/>
    </row>
    <row r="179">
      <c r="A179" s="7" t="s">
        <v>8</v>
      </c>
      <c r="B179" s="8">
        <v>7.000000199E9</v>
      </c>
      <c r="C179" s="7" t="s">
        <v>352</v>
      </c>
      <c r="D179" s="3" t="s">
        <v>11</v>
      </c>
      <c r="E179" s="3" t="s">
        <v>324</v>
      </c>
      <c r="F179" s="19" t="s">
        <v>353</v>
      </c>
      <c r="G179" s="11"/>
      <c r="H179" s="11"/>
      <c r="I179" s="6"/>
      <c r="J179" s="6"/>
    </row>
    <row r="180">
      <c r="A180" s="7" t="s">
        <v>66</v>
      </c>
      <c r="B180" s="8">
        <v>7.00070065E9</v>
      </c>
      <c r="C180" s="7" t="s">
        <v>354</v>
      </c>
      <c r="D180" s="3" t="s">
        <v>11</v>
      </c>
      <c r="E180" s="3" t="s">
        <v>324</v>
      </c>
      <c r="F180" s="19" t="s">
        <v>355</v>
      </c>
      <c r="G180" s="11"/>
      <c r="H180" s="11"/>
      <c r="I180" s="6"/>
      <c r="J180" s="6"/>
    </row>
    <row r="181">
      <c r="A181" s="7" t="s">
        <v>66</v>
      </c>
      <c r="B181" s="8">
        <v>7.000700651E9</v>
      </c>
      <c r="C181" s="7" t="s">
        <v>356</v>
      </c>
      <c r="D181" s="3" t="s">
        <v>11</v>
      </c>
      <c r="E181" s="3" t="s">
        <v>30</v>
      </c>
      <c r="F181" s="10" t="s">
        <v>37</v>
      </c>
      <c r="G181" s="11"/>
      <c r="H181" s="11"/>
      <c r="I181" s="6"/>
      <c r="J181" s="6"/>
    </row>
    <row r="182">
      <c r="A182" s="7" t="s">
        <v>66</v>
      </c>
      <c r="B182" s="8">
        <v>7.000700652E9</v>
      </c>
      <c r="C182" s="7" t="s">
        <v>357</v>
      </c>
      <c r="D182" s="3" t="s">
        <v>11</v>
      </c>
      <c r="E182" s="3" t="s">
        <v>30</v>
      </c>
      <c r="F182" s="10" t="s">
        <v>37</v>
      </c>
      <c r="G182" s="11"/>
      <c r="H182" s="11"/>
      <c r="I182" s="6"/>
      <c r="J182" s="6"/>
    </row>
    <row r="183">
      <c r="A183" s="7" t="s">
        <v>66</v>
      </c>
      <c r="B183" s="8">
        <v>7.000700653E9</v>
      </c>
      <c r="C183" s="7" t="s">
        <v>358</v>
      </c>
      <c r="D183" s="3" t="s">
        <v>11</v>
      </c>
      <c r="E183" s="3" t="s">
        <v>30</v>
      </c>
      <c r="F183" s="10" t="s">
        <v>37</v>
      </c>
      <c r="G183" s="11"/>
      <c r="H183" s="11"/>
      <c r="I183" s="6"/>
      <c r="J183" s="6"/>
    </row>
    <row r="184">
      <c r="A184" s="7" t="s">
        <v>66</v>
      </c>
      <c r="B184" s="8">
        <v>2.000050568E9</v>
      </c>
      <c r="C184" s="7" t="s">
        <v>359</v>
      </c>
      <c r="D184" s="3" t="s">
        <v>11</v>
      </c>
      <c r="E184" s="3" t="s">
        <v>30</v>
      </c>
      <c r="F184" s="10" t="s">
        <v>37</v>
      </c>
      <c r="G184" s="11"/>
      <c r="H184" s="11"/>
      <c r="I184" s="6"/>
      <c r="J184" s="6"/>
    </row>
    <row r="185">
      <c r="A185" s="7" t="s">
        <v>66</v>
      </c>
      <c r="B185" s="8">
        <v>7.000700654E9</v>
      </c>
      <c r="C185" s="7" t="s">
        <v>360</v>
      </c>
      <c r="D185" s="3" t="s">
        <v>11</v>
      </c>
      <c r="E185" s="3" t="s">
        <v>324</v>
      </c>
      <c r="F185" s="19" t="s">
        <v>361</v>
      </c>
      <c r="G185" s="11"/>
      <c r="H185" s="11"/>
      <c r="I185" s="6"/>
      <c r="J185" s="6"/>
    </row>
    <row r="186">
      <c r="A186" s="7" t="s">
        <v>8</v>
      </c>
      <c r="B186" s="8">
        <v>7.000700655E9</v>
      </c>
      <c r="C186" s="7" t="s">
        <v>362</v>
      </c>
      <c r="D186" s="3" t="s">
        <v>11</v>
      </c>
      <c r="E186" s="3" t="s">
        <v>324</v>
      </c>
      <c r="F186" s="22" t="s">
        <v>363</v>
      </c>
      <c r="G186" s="11"/>
      <c r="H186" s="11"/>
      <c r="I186" s="6"/>
      <c r="J186" s="6"/>
    </row>
    <row r="187">
      <c r="A187" s="7" t="s">
        <v>66</v>
      </c>
      <c r="B187" s="8">
        <v>7.000700656E9</v>
      </c>
      <c r="C187" s="7" t="s">
        <v>364</v>
      </c>
      <c r="D187" s="3" t="s">
        <v>11</v>
      </c>
      <c r="E187" s="3" t="s">
        <v>30</v>
      </c>
      <c r="F187" s="10" t="s">
        <v>37</v>
      </c>
      <c r="G187" s="11"/>
      <c r="H187" s="11"/>
      <c r="I187" s="6"/>
      <c r="J187" s="6"/>
    </row>
    <row r="188">
      <c r="A188" s="7" t="s">
        <v>66</v>
      </c>
      <c r="B188" s="8">
        <v>7.000700658E9</v>
      </c>
      <c r="C188" s="7" t="s">
        <v>365</v>
      </c>
      <c r="D188" s="3" t="s">
        <v>58</v>
      </c>
      <c r="E188" s="3" t="s">
        <v>59</v>
      </c>
      <c r="F188" s="19" t="s">
        <v>366</v>
      </c>
      <c r="G188" s="11"/>
      <c r="H188" s="11"/>
      <c r="I188" s="6"/>
      <c r="J188" s="6"/>
    </row>
    <row r="189">
      <c r="A189" s="7" t="s">
        <v>66</v>
      </c>
      <c r="B189" s="8">
        <v>7.00000542E9</v>
      </c>
      <c r="C189" s="7" t="s">
        <v>367</v>
      </c>
      <c r="D189" s="3" t="s">
        <v>11</v>
      </c>
      <c r="E189" s="3" t="s">
        <v>30</v>
      </c>
      <c r="F189" s="10" t="s">
        <v>37</v>
      </c>
      <c r="G189" s="11"/>
      <c r="H189" s="11"/>
      <c r="I189" s="6"/>
      <c r="J189" s="6"/>
    </row>
    <row r="190">
      <c r="A190" s="7" t="s">
        <v>66</v>
      </c>
      <c r="B190" s="8">
        <v>7.000700573E9</v>
      </c>
      <c r="C190" s="7" t="s">
        <v>368</v>
      </c>
      <c r="D190" s="3" t="s">
        <v>11</v>
      </c>
      <c r="E190" s="3" t="s">
        <v>30</v>
      </c>
      <c r="F190" s="10" t="s">
        <v>37</v>
      </c>
      <c r="G190" s="11"/>
      <c r="H190" s="11"/>
      <c r="I190" s="6"/>
      <c r="J190" s="6"/>
    </row>
    <row r="191">
      <c r="A191" s="7" t="s">
        <v>66</v>
      </c>
      <c r="B191" s="8">
        <v>7.000700503E9</v>
      </c>
      <c r="C191" s="7" t="s">
        <v>369</v>
      </c>
      <c r="D191" s="3" t="s">
        <v>11</v>
      </c>
      <c r="E191" s="3" t="s">
        <v>324</v>
      </c>
      <c r="F191" s="19" t="s">
        <v>370</v>
      </c>
      <c r="G191" s="11"/>
      <c r="H191" s="11"/>
      <c r="I191" s="6"/>
      <c r="J191" s="6"/>
    </row>
    <row r="192">
      <c r="A192" s="7" t="s">
        <v>66</v>
      </c>
      <c r="B192" s="8">
        <v>7.000000118E9</v>
      </c>
      <c r="C192" s="7" t="s">
        <v>371</v>
      </c>
      <c r="D192" s="3" t="s">
        <v>11</v>
      </c>
      <c r="E192" s="3" t="s">
        <v>30</v>
      </c>
      <c r="F192" s="10" t="s">
        <v>37</v>
      </c>
      <c r="G192" s="11"/>
      <c r="H192" s="11"/>
      <c r="I192" s="6"/>
      <c r="J192" s="6"/>
    </row>
    <row r="193">
      <c r="A193" s="7" t="s">
        <v>66</v>
      </c>
      <c r="B193" s="8">
        <v>2.000050569E9</v>
      </c>
      <c r="C193" s="7" t="s">
        <v>372</v>
      </c>
      <c r="D193" s="3" t="s">
        <v>11</v>
      </c>
      <c r="E193" s="3" t="s">
        <v>30</v>
      </c>
      <c r="F193" s="10" t="s">
        <v>37</v>
      </c>
      <c r="G193" s="11"/>
      <c r="H193" s="11"/>
      <c r="I193" s="6"/>
      <c r="J193" s="6"/>
    </row>
    <row r="194">
      <c r="A194" s="7" t="s">
        <v>66</v>
      </c>
      <c r="B194" s="8">
        <v>2.00005057E9</v>
      </c>
      <c r="C194" s="7" t="s">
        <v>373</v>
      </c>
      <c r="D194" s="3" t="s">
        <v>58</v>
      </c>
      <c r="E194" s="3" t="s">
        <v>59</v>
      </c>
      <c r="F194" s="19" t="s">
        <v>374</v>
      </c>
      <c r="G194" s="11"/>
      <c r="H194" s="11"/>
      <c r="I194" s="6"/>
      <c r="J194" s="6"/>
    </row>
    <row r="195">
      <c r="A195" s="7" t="s">
        <v>8</v>
      </c>
      <c r="B195" s="8">
        <v>2.000050571E9</v>
      </c>
      <c r="C195" s="7" t="s">
        <v>375</v>
      </c>
      <c r="D195" s="3" t="s">
        <v>162</v>
      </c>
      <c r="E195" s="3" t="s">
        <v>59</v>
      </c>
      <c r="F195" s="19" t="s">
        <v>376</v>
      </c>
      <c r="G195" s="11"/>
      <c r="H195" s="11"/>
      <c r="I195" s="6"/>
      <c r="J195" s="6"/>
    </row>
    <row r="196">
      <c r="A196" s="7" t="s">
        <v>8</v>
      </c>
      <c r="B196" s="8">
        <v>2.000050572E9</v>
      </c>
      <c r="C196" s="7" t="s">
        <v>377</v>
      </c>
      <c r="D196" s="3" t="s">
        <v>162</v>
      </c>
      <c r="E196" s="3" t="s">
        <v>59</v>
      </c>
      <c r="F196" s="19" t="s">
        <v>378</v>
      </c>
      <c r="G196" s="11"/>
      <c r="H196" s="11"/>
      <c r="I196" s="6"/>
      <c r="J196" s="6"/>
    </row>
    <row r="197">
      <c r="A197" s="7" t="s">
        <v>8</v>
      </c>
      <c r="B197" s="8">
        <v>2.000003052E9</v>
      </c>
      <c r="C197" s="7" t="s">
        <v>379</v>
      </c>
      <c r="D197" s="3" t="s">
        <v>11</v>
      </c>
      <c r="E197" s="3" t="s">
        <v>59</v>
      </c>
      <c r="F197" s="19" t="s">
        <v>380</v>
      </c>
      <c r="G197" s="11"/>
      <c r="H197" s="11"/>
      <c r="I197" s="6"/>
      <c r="J197" s="6"/>
    </row>
    <row r="198">
      <c r="A198" s="7" t="s">
        <v>66</v>
      </c>
      <c r="B198" s="8">
        <v>7.000700659E9</v>
      </c>
      <c r="C198" s="7" t="s">
        <v>381</v>
      </c>
      <c r="D198" s="3" t="s">
        <v>11</v>
      </c>
      <c r="E198" s="3" t="s">
        <v>30</v>
      </c>
      <c r="F198" s="10" t="s">
        <v>37</v>
      </c>
      <c r="G198" s="11"/>
      <c r="H198" s="11"/>
      <c r="I198" s="6"/>
      <c r="J198" s="6"/>
    </row>
    <row r="199">
      <c r="A199" s="7" t="s">
        <v>66</v>
      </c>
      <c r="B199" s="8">
        <v>7.00070066E9</v>
      </c>
      <c r="C199" s="7" t="s">
        <v>382</v>
      </c>
      <c r="D199" s="3" t="s">
        <v>11</v>
      </c>
      <c r="E199" s="3" t="s">
        <v>30</v>
      </c>
      <c r="F199" s="10" t="s">
        <v>37</v>
      </c>
      <c r="G199" s="11"/>
      <c r="H199" s="11"/>
      <c r="I199" s="6"/>
      <c r="J199" s="6"/>
    </row>
    <row r="200">
      <c r="A200" s="7" t="s">
        <v>66</v>
      </c>
      <c r="B200" s="8">
        <v>7.000700661E9</v>
      </c>
      <c r="C200" s="7" t="s">
        <v>383</v>
      </c>
      <c r="D200" s="3" t="s">
        <v>11</v>
      </c>
      <c r="E200" s="3" t="s">
        <v>30</v>
      </c>
      <c r="F200" s="10" t="s">
        <v>37</v>
      </c>
      <c r="G200" s="11"/>
      <c r="H200" s="11"/>
      <c r="I200" s="6"/>
      <c r="J200" s="6"/>
    </row>
    <row r="201">
      <c r="A201" s="7" t="s">
        <v>14</v>
      </c>
      <c r="B201" s="8">
        <v>7.000700662E9</v>
      </c>
      <c r="C201" s="7" t="s">
        <v>384</v>
      </c>
      <c r="D201" s="3" t="s">
        <v>11</v>
      </c>
      <c r="E201" s="3" t="s">
        <v>30</v>
      </c>
      <c r="F201" s="10" t="s">
        <v>37</v>
      </c>
      <c r="G201" s="11"/>
      <c r="H201" s="11"/>
      <c r="I201" s="6"/>
      <c r="J201" s="6"/>
    </row>
    <row r="202">
      <c r="A202" s="7" t="s">
        <v>8</v>
      </c>
      <c r="B202" s="8">
        <v>7.000700663E9</v>
      </c>
      <c r="C202" s="7" t="s">
        <v>385</v>
      </c>
      <c r="D202" s="3" t="s">
        <v>11</v>
      </c>
      <c r="E202" s="3" t="s">
        <v>30</v>
      </c>
      <c r="F202" s="10" t="s">
        <v>37</v>
      </c>
      <c r="G202" s="11"/>
      <c r="H202" s="11"/>
      <c r="I202" s="6"/>
      <c r="J202" s="6"/>
    </row>
    <row r="203">
      <c r="A203" s="7" t="s">
        <v>14</v>
      </c>
      <c r="B203" s="8">
        <v>7.000700664E9</v>
      </c>
      <c r="C203" s="7" t="s">
        <v>386</v>
      </c>
      <c r="D203" s="3" t="s">
        <v>11</v>
      </c>
      <c r="E203" s="3" t="s">
        <v>30</v>
      </c>
      <c r="F203" s="10" t="s">
        <v>37</v>
      </c>
      <c r="G203" s="11"/>
      <c r="H203" s="11"/>
      <c r="I203" s="6"/>
      <c r="J203" s="6"/>
    </row>
    <row r="204">
      <c r="A204" s="7" t="s">
        <v>66</v>
      </c>
      <c r="B204" s="8">
        <v>7.000001153E9</v>
      </c>
      <c r="C204" s="7" t="s">
        <v>387</v>
      </c>
      <c r="D204" s="3" t="s">
        <v>11</v>
      </c>
      <c r="E204" s="3" t="s">
        <v>324</v>
      </c>
      <c r="F204" s="19" t="s">
        <v>388</v>
      </c>
      <c r="G204" s="11"/>
      <c r="H204" s="11"/>
      <c r="I204" s="6"/>
      <c r="J204" s="6"/>
    </row>
    <row r="205">
      <c r="A205" s="7" t="s">
        <v>8</v>
      </c>
      <c r="B205" s="8">
        <v>7.000700548E9</v>
      </c>
      <c r="C205" s="7" t="s">
        <v>389</v>
      </c>
      <c r="D205" s="3" t="s">
        <v>11</v>
      </c>
      <c r="E205" s="3" t="s">
        <v>30</v>
      </c>
      <c r="F205" s="10" t="s">
        <v>37</v>
      </c>
      <c r="G205" s="11"/>
      <c r="H205" s="11"/>
      <c r="I205" s="6"/>
      <c r="J205" s="6"/>
    </row>
    <row r="206">
      <c r="A206" s="7" t="s">
        <v>8</v>
      </c>
      <c r="B206" s="8">
        <v>7.000005459E9</v>
      </c>
      <c r="C206" s="7" t="s">
        <v>390</v>
      </c>
      <c r="D206" s="3" t="s">
        <v>11</v>
      </c>
      <c r="E206" s="3" t="s">
        <v>30</v>
      </c>
      <c r="F206" s="10" t="s">
        <v>37</v>
      </c>
      <c r="G206" s="11"/>
      <c r="H206" s="11"/>
      <c r="I206" s="6"/>
      <c r="J206" s="6"/>
    </row>
    <row r="207">
      <c r="A207" s="7" t="s">
        <v>66</v>
      </c>
      <c r="B207" s="8">
        <v>7.000700613E9</v>
      </c>
      <c r="C207" s="7" t="s">
        <v>391</v>
      </c>
      <c r="D207" s="3" t="s">
        <v>11</v>
      </c>
      <c r="E207" s="3" t="s">
        <v>30</v>
      </c>
      <c r="F207" s="10" t="s">
        <v>37</v>
      </c>
      <c r="G207" s="11"/>
      <c r="H207" s="11"/>
      <c r="I207" s="6"/>
      <c r="J207" s="6"/>
    </row>
    <row r="208">
      <c r="A208" s="7" t="s">
        <v>66</v>
      </c>
      <c r="B208" s="8">
        <v>2.000050573E9</v>
      </c>
      <c r="C208" s="7" t="s">
        <v>392</v>
      </c>
      <c r="D208" s="3" t="s">
        <v>11</v>
      </c>
      <c r="E208" s="3" t="s">
        <v>30</v>
      </c>
      <c r="F208" s="10" t="s">
        <v>37</v>
      </c>
      <c r="G208" s="11"/>
      <c r="H208" s="11"/>
      <c r="I208" s="6"/>
      <c r="J208" s="6"/>
    </row>
    <row r="209">
      <c r="A209" s="7" t="s">
        <v>66</v>
      </c>
      <c r="B209" s="8">
        <v>2.000050574E9</v>
      </c>
      <c r="C209" s="7" t="s">
        <v>393</v>
      </c>
      <c r="D209" s="3" t="s">
        <v>11</v>
      </c>
      <c r="E209" s="3" t="s">
        <v>30</v>
      </c>
      <c r="F209" s="10" t="s">
        <v>37</v>
      </c>
      <c r="G209" s="11"/>
      <c r="H209" s="11"/>
      <c r="I209" s="6"/>
      <c r="J209" s="6"/>
    </row>
    <row r="210">
      <c r="A210" s="7" t="s">
        <v>8</v>
      </c>
      <c r="B210" s="8">
        <v>7.000700665E9</v>
      </c>
      <c r="C210" s="7" t="s">
        <v>394</v>
      </c>
      <c r="D210" s="3" t="s">
        <v>11</v>
      </c>
      <c r="E210" s="3" t="s">
        <v>30</v>
      </c>
      <c r="F210" s="10" t="s">
        <v>37</v>
      </c>
      <c r="G210" s="11"/>
      <c r="H210" s="11"/>
      <c r="I210" s="6"/>
      <c r="J210" s="6"/>
    </row>
    <row r="211">
      <c r="A211" s="7" t="s">
        <v>8</v>
      </c>
      <c r="B211" s="8">
        <v>7.000700666E9</v>
      </c>
      <c r="C211" s="7" t="s">
        <v>395</v>
      </c>
      <c r="D211" s="3" t="s">
        <v>58</v>
      </c>
      <c r="E211" s="3" t="s">
        <v>30</v>
      </c>
      <c r="F211" s="10" t="s">
        <v>37</v>
      </c>
      <c r="G211" s="11"/>
      <c r="H211" s="11"/>
      <c r="I211" s="6"/>
      <c r="J211" s="6"/>
    </row>
    <row r="212">
      <c r="A212" s="7" t="s">
        <v>8</v>
      </c>
      <c r="B212" s="8">
        <v>7.000700667E9</v>
      </c>
      <c r="C212" s="7" t="s">
        <v>396</v>
      </c>
      <c r="D212" s="3" t="s">
        <v>11</v>
      </c>
      <c r="E212" s="3" t="s">
        <v>30</v>
      </c>
      <c r="F212" s="10" t="s">
        <v>37</v>
      </c>
      <c r="G212" s="11"/>
      <c r="H212" s="11"/>
      <c r="I212" s="6"/>
      <c r="J212" s="6"/>
    </row>
    <row r="213">
      <c r="A213" s="7" t="s">
        <v>8</v>
      </c>
      <c r="B213" s="8">
        <v>7.000700668E9</v>
      </c>
      <c r="C213" s="7" t="s">
        <v>397</v>
      </c>
      <c r="D213" s="3" t="s">
        <v>11</v>
      </c>
      <c r="E213" s="3" t="s">
        <v>30</v>
      </c>
      <c r="F213" s="10" t="s">
        <v>37</v>
      </c>
      <c r="G213" s="11"/>
      <c r="H213" s="11"/>
      <c r="I213" s="6"/>
      <c r="J213" s="6"/>
    </row>
    <row r="214">
      <c r="A214" s="7" t="s">
        <v>66</v>
      </c>
      <c r="B214" s="8">
        <v>7.000700669E9</v>
      </c>
      <c r="C214" s="7" t="s">
        <v>398</v>
      </c>
      <c r="D214" s="3" t="s">
        <v>11</v>
      </c>
      <c r="E214" s="3" t="s">
        <v>324</v>
      </c>
      <c r="F214" s="19" t="s">
        <v>399</v>
      </c>
      <c r="G214" s="11"/>
      <c r="H214" s="11"/>
      <c r="I214" s="6"/>
      <c r="J214" s="6"/>
    </row>
    <row r="215">
      <c r="A215" s="7" t="s">
        <v>66</v>
      </c>
      <c r="B215" s="8">
        <v>7.000005324E9</v>
      </c>
      <c r="C215" s="7" t="s">
        <v>400</v>
      </c>
      <c r="D215" s="3" t="s">
        <v>11</v>
      </c>
      <c r="E215" s="3" t="s">
        <v>30</v>
      </c>
      <c r="F215" s="10" t="s">
        <v>37</v>
      </c>
      <c r="G215" s="11"/>
      <c r="H215" s="11"/>
      <c r="I215" s="6"/>
      <c r="J215" s="6"/>
    </row>
    <row r="216">
      <c r="A216" s="7" t="s">
        <v>66</v>
      </c>
      <c r="B216" s="8">
        <v>7.000005346E9</v>
      </c>
      <c r="C216" s="7" t="s">
        <v>401</v>
      </c>
      <c r="D216" s="3" t="s">
        <v>11</v>
      </c>
      <c r="E216" s="3" t="s">
        <v>324</v>
      </c>
      <c r="F216" s="19" t="s">
        <v>402</v>
      </c>
      <c r="G216" s="11"/>
      <c r="H216" s="11"/>
      <c r="I216" s="6"/>
      <c r="J216" s="6"/>
    </row>
    <row r="217">
      <c r="A217" s="7" t="s">
        <v>8</v>
      </c>
      <c r="B217" s="8">
        <v>7.000700538E9</v>
      </c>
      <c r="C217" s="7" t="s">
        <v>403</v>
      </c>
      <c r="D217" s="3" t="s">
        <v>11</v>
      </c>
      <c r="E217" s="3" t="s">
        <v>324</v>
      </c>
      <c r="F217" s="19" t="s">
        <v>404</v>
      </c>
      <c r="G217" s="11"/>
      <c r="H217" s="11"/>
      <c r="I217" s="6"/>
      <c r="J217" s="6"/>
    </row>
    <row r="218">
      <c r="A218" s="7" t="s">
        <v>8</v>
      </c>
      <c r="B218" s="8">
        <v>7.000700541E9</v>
      </c>
      <c r="C218" s="7" t="s">
        <v>405</v>
      </c>
      <c r="D218" s="3" t="s">
        <v>11</v>
      </c>
      <c r="E218" s="3" t="s">
        <v>30</v>
      </c>
      <c r="F218" s="10" t="s">
        <v>37</v>
      </c>
      <c r="G218" s="11"/>
      <c r="H218" s="11"/>
      <c r="I218" s="6"/>
      <c r="J218" s="6"/>
    </row>
    <row r="219">
      <c r="A219" s="7" t="s">
        <v>8</v>
      </c>
      <c r="B219" s="8">
        <v>2.00000306E9</v>
      </c>
      <c r="C219" s="9" t="s">
        <v>406</v>
      </c>
      <c r="D219" s="3" t="s">
        <v>407</v>
      </c>
      <c r="E219" s="3" t="s">
        <v>59</v>
      </c>
      <c r="F219" s="23" t="s">
        <v>408</v>
      </c>
      <c r="G219" s="11"/>
      <c r="H219" s="11"/>
      <c r="I219" s="6"/>
      <c r="J219" s="6"/>
    </row>
    <row r="220">
      <c r="A220" s="7" t="s">
        <v>66</v>
      </c>
      <c r="B220" s="8">
        <v>2.000003071E9</v>
      </c>
      <c r="C220" s="9" t="s">
        <v>409</v>
      </c>
      <c r="D220" s="3" t="s">
        <v>410</v>
      </c>
      <c r="E220" s="3" t="s">
        <v>59</v>
      </c>
      <c r="F220" s="23" t="s">
        <v>411</v>
      </c>
      <c r="G220" s="11"/>
      <c r="H220" s="3" t="s">
        <v>412</v>
      </c>
      <c r="I220" s="6"/>
      <c r="J220" s="6"/>
    </row>
    <row r="221">
      <c r="A221" s="7" t="s">
        <v>66</v>
      </c>
      <c r="B221" s="8">
        <v>2.000003083E9</v>
      </c>
      <c r="C221" s="9" t="s">
        <v>413</v>
      </c>
      <c r="D221" s="3" t="s">
        <v>410</v>
      </c>
      <c r="E221" s="3" t="s">
        <v>59</v>
      </c>
      <c r="F221" s="23" t="s">
        <v>414</v>
      </c>
      <c r="G221" s="11"/>
      <c r="H221" s="11"/>
      <c r="I221" s="6"/>
      <c r="J221" s="6"/>
    </row>
    <row r="222">
      <c r="A222" s="7" t="s">
        <v>66</v>
      </c>
      <c r="B222" s="8">
        <v>2.00005051E9</v>
      </c>
      <c r="C222" s="9" t="s">
        <v>415</v>
      </c>
      <c r="D222" s="3" t="s">
        <v>410</v>
      </c>
      <c r="E222" s="3" t="s">
        <v>59</v>
      </c>
      <c r="F222" s="23" t="s">
        <v>416</v>
      </c>
      <c r="G222" s="11"/>
      <c r="H222" s="3" t="s">
        <v>412</v>
      </c>
      <c r="I222" s="6"/>
      <c r="J222" s="6"/>
    </row>
    <row r="223">
      <c r="A223" s="7" t="s">
        <v>66</v>
      </c>
      <c r="B223" s="8">
        <v>2.000050517E9</v>
      </c>
      <c r="C223" s="9" t="s">
        <v>417</v>
      </c>
      <c r="D223" s="3" t="s">
        <v>410</v>
      </c>
      <c r="E223" s="3" t="s">
        <v>59</v>
      </c>
      <c r="F223" s="24" t="s">
        <v>418</v>
      </c>
      <c r="G223" s="11"/>
      <c r="H223" s="3" t="s">
        <v>412</v>
      </c>
      <c r="I223" s="6"/>
      <c r="J223" s="6"/>
    </row>
    <row r="224">
      <c r="A224" s="7" t="s">
        <v>8</v>
      </c>
      <c r="B224" s="8">
        <v>2.000050522E9</v>
      </c>
      <c r="C224" s="9" t="s">
        <v>419</v>
      </c>
      <c r="D224" s="3" t="s">
        <v>410</v>
      </c>
      <c r="E224" s="3" t="s">
        <v>59</v>
      </c>
      <c r="F224" s="23" t="s">
        <v>420</v>
      </c>
      <c r="G224" s="11"/>
      <c r="H224" s="11"/>
      <c r="I224" s="6"/>
      <c r="J224" s="6"/>
    </row>
    <row r="225">
      <c r="A225" s="7" t="s">
        <v>8</v>
      </c>
      <c r="B225" s="8">
        <v>2.000050559E9</v>
      </c>
      <c r="C225" s="9" t="s">
        <v>421</v>
      </c>
      <c r="D225" s="3" t="s">
        <v>410</v>
      </c>
      <c r="E225" s="3" t="s">
        <v>59</v>
      </c>
      <c r="F225" s="23" t="s">
        <v>422</v>
      </c>
      <c r="G225" s="11"/>
      <c r="H225" s="11"/>
      <c r="I225" s="6"/>
      <c r="J225" s="6"/>
    </row>
    <row r="226">
      <c r="A226" s="7" t="s">
        <v>313</v>
      </c>
      <c r="B226" s="8">
        <v>7.000001141E9</v>
      </c>
      <c r="C226" s="7" t="s">
        <v>423</v>
      </c>
      <c r="D226" s="3" t="s">
        <v>11</v>
      </c>
      <c r="E226" s="3" t="s">
        <v>324</v>
      </c>
      <c r="F226" s="25" t="s">
        <v>424</v>
      </c>
      <c r="G226" s="11"/>
      <c r="H226" s="11"/>
      <c r="I226" s="6"/>
      <c r="J226" s="6"/>
    </row>
    <row r="227">
      <c r="A227" s="7" t="s">
        <v>66</v>
      </c>
      <c r="B227" s="8">
        <v>2.000050567E9</v>
      </c>
      <c r="C227" s="7" t="s">
        <v>425</v>
      </c>
      <c r="D227" s="3" t="s">
        <v>11</v>
      </c>
      <c r="E227" s="3" t="s">
        <v>324</v>
      </c>
      <c r="F227" s="25" t="s">
        <v>426</v>
      </c>
      <c r="G227" s="11"/>
      <c r="H227" s="11"/>
      <c r="I227" s="26" t="s">
        <v>427</v>
      </c>
      <c r="J227" s="6"/>
    </row>
    <row r="228">
      <c r="A228" s="7" t="s">
        <v>66</v>
      </c>
      <c r="B228" s="8">
        <v>2.000050507E9</v>
      </c>
      <c r="C228" s="7" t="s">
        <v>428</v>
      </c>
      <c r="D228" s="3" t="s">
        <v>11</v>
      </c>
      <c r="E228" s="3" t="s">
        <v>324</v>
      </c>
      <c r="F228" s="25" t="s">
        <v>429</v>
      </c>
      <c r="G228" s="11"/>
      <c r="H228" s="11"/>
      <c r="I228" s="6"/>
      <c r="J228" s="6"/>
    </row>
    <row r="229">
      <c r="A229" s="7" t="s">
        <v>66</v>
      </c>
      <c r="B229" s="8">
        <v>2.000050575E9</v>
      </c>
      <c r="C229" s="7" t="s">
        <v>430</v>
      </c>
      <c r="D229" s="3" t="s">
        <v>11</v>
      </c>
      <c r="E229" s="3" t="s">
        <v>324</v>
      </c>
      <c r="F229" s="27" t="s">
        <v>431</v>
      </c>
      <c r="G229" s="11"/>
      <c r="H229" s="11"/>
      <c r="I229" s="6"/>
      <c r="J229" s="6"/>
    </row>
    <row r="230">
      <c r="A230" s="7" t="s">
        <v>66</v>
      </c>
      <c r="B230" s="8">
        <v>2.000050576E9</v>
      </c>
      <c r="C230" s="7" t="s">
        <v>432</v>
      </c>
      <c r="D230" s="3" t="s">
        <v>162</v>
      </c>
      <c r="E230" s="3" t="s">
        <v>59</v>
      </c>
      <c r="F230" s="25" t="s">
        <v>433</v>
      </c>
      <c r="G230" s="11"/>
      <c r="H230" s="11"/>
      <c r="I230" s="6"/>
      <c r="J230" s="6"/>
    </row>
    <row r="231">
      <c r="A231" s="7" t="s">
        <v>66</v>
      </c>
      <c r="B231" s="8">
        <v>2.000050577E9</v>
      </c>
      <c r="C231" s="7" t="s">
        <v>434</v>
      </c>
      <c r="D231" s="3" t="s">
        <v>162</v>
      </c>
      <c r="E231" s="3" t="s">
        <v>59</v>
      </c>
      <c r="F231" s="27" t="s">
        <v>435</v>
      </c>
      <c r="G231" s="11"/>
      <c r="H231" s="11"/>
      <c r="I231" s="6"/>
      <c r="J231" s="6"/>
    </row>
    <row r="232">
      <c r="A232" s="7" t="s">
        <v>66</v>
      </c>
      <c r="B232" s="8">
        <v>7.00070067E9</v>
      </c>
      <c r="C232" s="7" t="s">
        <v>436</v>
      </c>
      <c r="D232" s="3" t="s">
        <v>11</v>
      </c>
      <c r="E232" s="3" t="s">
        <v>30</v>
      </c>
      <c r="F232" s="28" t="s">
        <v>37</v>
      </c>
      <c r="G232" s="11"/>
      <c r="H232" s="11"/>
      <c r="I232" s="6"/>
      <c r="J232" s="6"/>
    </row>
    <row r="233">
      <c r="A233" s="7" t="s">
        <v>8</v>
      </c>
      <c r="B233" s="8">
        <v>7.000700671E9</v>
      </c>
      <c r="C233" s="7" t="s">
        <v>437</v>
      </c>
      <c r="D233" s="3" t="s">
        <v>11</v>
      </c>
      <c r="E233" s="3" t="s">
        <v>324</v>
      </c>
      <c r="F233" s="27" t="s">
        <v>438</v>
      </c>
      <c r="G233" s="11"/>
      <c r="H233" s="11"/>
      <c r="I233" s="6"/>
      <c r="J233" s="6"/>
    </row>
    <row r="234">
      <c r="A234" s="7" t="s">
        <v>8</v>
      </c>
      <c r="B234" s="8">
        <v>7.000700523E9</v>
      </c>
      <c r="C234" s="7" t="s">
        <v>439</v>
      </c>
      <c r="D234" s="3" t="s">
        <v>11</v>
      </c>
      <c r="E234" s="3" t="s">
        <v>324</v>
      </c>
      <c r="F234" s="27" t="s">
        <v>440</v>
      </c>
      <c r="G234" s="11"/>
      <c r="H234" s="11"/>
      <c r="I234" s="6"/>
      <c r="J234" s="6"/>
    </row>
    <row r="235">
      <c r="A235" s="7" t="s">
        <v>313</v>
      </c>
      <c r="B235" s="8">
        <v>7.000700603E9</v>
      </c>
      <c r="C235" s="7" t="s">
        <v>441</v>
      </c>
      <c r="D235" s="3" t="s">
        <v>11</v>
      </c>
      <c r="E235" s="3" t="s">
        <v>324</v>
      </c>
      <c r="F235" s="27" t="s">
        <v>442</v>
      </c>
      <c r="G235" s="11"/>
      <c r="H235" s="11"/>
      <c r="I235" s="26" t="s">
        <v>427</v>
      </c>
      <c r="J235" s="6"/>
    </row>
    <row r="236">
      <c r="A236" s="7" t="s">
        <v>66</v>
      </c>
      <c r="B236" s="8">
        <v>2.000050578E9</v>
      </c>
      <c r="C236" s="7" t="s">
        <v>443</v>
      </c>
      <c r="D236" s="3" t="s">
        <v>11</v>
      </c>
      <c r="E236" s="3" t="s">
        <v>324</v>
      </c>
      <c r="F236" s="27" t="s">
        <v>444</v>
      </c>
      <c r="G236" s="11"/>
      <c r="H236" s="11"/>
      <c r="I236" s="6"/>
      <c r="J236" s="6"/>
    </row>
    <row r="237">
      <c r="A237" s="7" t="s">
        <v>66</v>
      </c>
      <c r="B237" s="8">
        <v>2.000050579E9</v>
      </c>
      <c r="C237" s="7" t="s">
        <v>445</v>
      </c>
      <c r="D237" s="3" t="s">
        <v>11</v>
      </c>
      <c r="E237" s="3" t="s">
        <v>324</v>
      </c>
      <c r="F237" s="27" t="s">
        <v>446</v>
      </c>
      <c r="G237" s="11"/>
      <c r="H237" s="11"/>
      <c r="I237" s="6"/>
      <c r="J237" s="6"/>
    </row>
    <row r="238">
      <c r="A238" s="7" t="s">
        <v>66</v>
      </c>
      <c r="B238" s="8">
        <v>2.00005058E9</v>
      </c>
      <c r="C238" s="7" t="s">
        <v>447</v>
      </c>
      <c r="D238" s="3" t="s">
        <v>58</v>
      </c>
      <c r="E238" s="3" t="s">
        <v>59</v>
      </c>
      <c r="F238" s="27" t="s">
        <v>448</v>
      </c>
      <c r="G238" s="11"/>
      <c r="H238" s="11"/>
      <c r="I238" s="6"/>
      <c r="J238" s="6"/>
    </row>
    <row r="239">
      <c r="A239" s="7" t="s">
        <v>8</v>
      </c>
      <c r="B239" s="8">
        <v>2.000050581E9</v>
      </c>
      <c r="C239" s="7" t="s">
        <v>449</v>
      </c>
      <c r="D239" s="3" t="s">
        <v>58</v>
      </c>
      <c r="E239" s="3" t="s">
        <v>59</v>
      </c>
      <c r="F239" s="27" t="s">
        <v>450</v>
      </c>
      <c r="G239" s="11"/>
      <c r="H239" s="11"/>
      <c r="I239" s="6"/>
      <c r="J239" s="6"/>
    </row>
    <row r="240">
      <c r="A240" s="7" t="s">
        <v>8</v>
      </c>
      <c r="B240" s="8">
        <v>7.000700672E9</v>
      </c>
      <c r="C240" s="7" t="s">
        <v>451</v>
      </c>
      <c r="D240" s="3" t="s">
        <v>11</v>
      </c>
      <c r="E240" s="3" t="s">
        <v>324</v>
      </c>
      <c r="F240" s="27" t="s">
        <v>452</v>
      </c>
      <c r="G240" s="11"/>
      <c r="H240" s="11"/>
      <c r="I240" s="6"/>
      <c r="J240" s="6"/>
    </row>
    <row r="241">
      <c r="A241" s="7" t="s">
        <v>66</v>
      </c>
      <c r="B241" s="8">
        <v>7.000700673E9</v>
      </c>
      <c r="C241" s="7" t="s">
        <v>453</v>
      </c>
      <c r="D241" s="3" t="s">
        <v>11</v>
      </c>
      <c r="E241" s="3" t="s">
        <v>324</v>
      </c>
      <c r="F241" s="27" t="s">
        <v>454</v>
      </c>
      <c r="G241" s="11"/>
      <c r="H241" s="11"/>
      <c r="I241" s="6"/>
      <c r="J241" s="6"/>
    </row>
    <row r="242">
      <c r="A242" s="7" t="s">
        <v>66</v>
      </c>
      <c r="B242" s="8">
        <v>7.000700674E9</v>
      </c>
      <c r="C242" s="7" t="s">
        <v>455</v>
      </c>
      <c r="D242" s="3" t="s">
        <v>11</v>
      </c>
      <c r="E242" s="3" t="s">
        <v>324</v>
      </c>
      <c r="F242" s="27" t="s">
        <v>456</v>
      </c>
      <c r="G242" s="11"/>
      <c r="H242" s="11"/>
      <c r="I242" s="6"/>
      <c r="J242" s="6"/>
    </row>
    <row r="243">
      <c r="A243" s="7" t="s">
        <v>66</v>
      </c>
      <c r="B243" s="8">
        <v>7.000700675E9</v>
      </c>
      <c r="C243" s="7" t="s">
        <v>457</v>
      </c>
      <c r="D243" s="3" t="s">
        <v>11</v>
      </c>
      <c r="E243" s="3" t="s">
        <v>324</v>
      </c>
      <c r="F243" s="27" t="s">
        <v>458</v>
      </c>
      <c r="G243" s="11"/>
      <c r="H243" s="11"/>
      <c r="I243" s="6"/>
      <c r="J243" s="6"/>
    </row>
    <row r="244">
      <c r="A244" s="7" t="s">
        <v>66</v>
      </c>
      <c r="B244" s="8">
        <v>7.000700676E9</v>
      </c>
      <c r="C244" s="7" t="s">
        <v>459</v>
      </c>
      <c r="D244" s="3" t="s">
        <v>11</v>
      </c>
      <c r="E244" s="3" t="s">
        <v>30</v>
      </c>
      <c r="F244" s="10" t="s">
        <v>37</v>
      </c>
      <c r="G244" s="11"/>
      <c r="H244" s="11"/>
      <c r="I244" s="6"/>
      <c r="J244" s="6"/>
    </row>
    <row r="245">
      <c r="A245" s="7" t="s">
        <v>8</v>
      </c>
      <c r="B245" s="8">
        <v>7.000700677E9</v>
      </c>
      <c r="C245" s="7" t="s">
        <v>460</v>
      </c>
      <c r="D245" s="3" t="s">
        <v>11</v>
      </c>
      <c r="E245" s="3" t="s">
        <v>324</v>
      </c>
      <c r="F245" s="25" t="s">
        <v>461</v>
      </c>
      <c r="G245" s="11"/>
      <c r="H245" s="11"/>
      <c r="I245" s="6"/>
      <c r="J245" s="6"/>
    </row>
    <row r="246">
      <c r="A246" s="7" t="s">
        <v>66</v>
      </c>
      <c r="B246" s="8">
        <v>7.000700678E9</v>
      </c>
      <c r="C246" s="7" t="s">
        <v>462</v>
      </c>
      <c r="D246" s="3" t="s">
        <v>11</v>
      </c>
      <c r="E246" s="3" t="s">
        <v>324</v>
      </c>
      <c r="F246" s="27" t="s">
        <v>463</v>
      </c>
      <c r="G246" s="11"/>
      <c r="H246" s="11"/>
      <c r="I246" s="6"/>
      <c r="J246" s="6"/>
    </row>
    <row r="247">
      <c r="A247" s="7" t="s">
        <v>66</v>
      </c>
      <c r="B247" s="8">
        <v>7.000700679E9</v>
      </c>
      <c r="C247" s="7" t="s">
        <v>464</v>
      </c>
      <c r="D247" s="3" t="s">
        <v>11</v>
      </c>
      <c r="E247" s="3" t="s">
        <v>324</v>
      </c>
      <c r="F247" s="27" t="s">
        <v>465</v>
      </c>
      <c r="G247" s="11"/>
      <c r="H247" s="11"/>
      <c r="I247" s="6"/>
      <c r="J247" s="6"/>
    </row>
    <row r="248">
      <c r="A248" s="7" t="s">
        <v>66</v>
      </c>
      <c r="B248" s="8">
        <v>7.000005519E9</v>
      </c>
      <c r="C248" s="7" t="s">
        <v>466</v>
      </c>
      <c r="D248" s="3" t="s">
        <v>58</v>
      </c>
      <c r="E248" s="3" t="s">
        <v>30</v>
      </c>
      <c r="F248" s="10" t="s">
        <v>37</v>
      </c>
      <c r="G248" s="11"/>
      <c r="H248" s="11"/>
      <c r="I248" s="6"/>
      <c r="J248" s="6"/>
    </row>
    <row r="249">
      <c r="A249" s="7" t="s">
        <v>66</v>
      </c>
      <c r="B249" s="8">
        <v>7.000005478E9</v>
      </c>
      <c r="C249" s="7" t="s">
        <v>467</v>
      </c>
      <c r="D249" s="3" t="s">
        <v>11</v>
      </c>
      <c r="E249" s="3" t="s">
        <v>324</v>
      </c>
      <c r="F249" s="27" t="s">
        <v>468</v>
      </c>
      <c r="G249" s="11"/>
      <c r="H249" s="11"/>
      <c r="I249" s="26" t="s">
        <v>427</v>
      </c>
      <c r="J249" s="6"/>
    </row>
    <row r="250">
      <c r="A250" s="7" t="s">
        <v>66</v>
      </c>
      <c r="B250" s="8">
        <v>7.000004846E9</v>
      </c>
      <c r="C250" s="7" t="s">
        <v>469</v>
      </c>
      <c r="D250" s="3" t="s">
        <v>11</v>
      </c>
      <c r="E250" s="3" t="s">
        <v>324</v>
      </c>
      <c r="F250" s="27" t="s">
        <v>470</v>
      </c>
      <c r="G250" s="11"/>
      <c r="H250" s="11"/>
      <c r="I250" s="6"/>
      <c r="J250" s="6"/>
    </row>
    <row r="251">
      <c r="A251" s="7" t="s">
        <v>66</v>
      </c>
      <c r="B251" s="8">
        <v>7.000000196E9</v>
      </c>
      <c r="C251" s="7" t="s">
        <v>471</v>
      </c>
      <c r="D251" s="3" t="s">
        <v>472</v>
      </c>
      <c r="E251" s="3" t="s">
        <v>59</v>
      </c>
      <c r="F251" s="27" t="s">
        <v>473</v>
      </c>
      <c r="G251" s="11"/>
      <c r="H251" s="11"/>
      <c r="I251" s="6"/>
      <c r="J251" s="6"/>
    </row>
    <row r="252">
      <c r="A252" s="7" t="s">
        <v>66</v>
      </c>
      <c r="B252" s="8">
        <v>7.000000114E9</v>
      </c>
      <c r="C252" s="7" t="s">
        <v>474</v>
      </c>
      <c r="D252" s="3" t="s">
        <v>11</v>
      </c>
      <c r="E252" s="3" t="s">
        <v>324</v>
      </c>
      <c r="F252" s="27" t="s">
        <v>475</v>
      </c>
      <c r="G252" s="11"/>
      <c r="H252" s="11"/>
      <c r="I252" s="6"/>
      <c r="J252" s="6"/>
    </row>
    <row r="253">
      <c r="A253" s="7" t="s">
        <v>66</v>
      </c>
      <c r="B253" s="8">
        <v>2.000050582E9</v>
      </c>
      <c r="C253" s="7" t="s">
        <v>476</v>
      </c>
      <c r="D253" s="3" t="s">
        <v>58</v>
      </c>
      <c r="E253" s="3" t="s">
        <v>30</v>
      </c>
      <c r="F253" s="10" t="s">
        <v>37</v>
      </c>
      <c r="G253" s="11"/>
      <c r="H253" s="11"/>
      <c r="I253" s="6"/>
      <c r="J253" s="6"/>
    </row>
    <row r="254">
      <c r="A254" s="7" t="s">
        <v>66</v>
      </c>
      <c r="B254" s="8">
        <v>2.000050583E9</v>
      </c>
      <c r="C254" s="7" t="s">
        <v>477</v>
      </c>
      <c r="D254" s="3" t="s">
        <v>162</v>
      </c>
      <c r="E254" s="3" t="s">
        <v>59</v>
      </c>
      <c r="F254" s="27" t="s">
        <v>478</v>
      </c>
      <c r="G254" s="11"/>
      <c r="H254" s="11"/>
      <c r="I254" s="6"/>
      <c r="J254" s="6"/>
    </row>
    <row r="255">
      <c r="A255" s="7" t="s">
        <v>8</v>
      </c>
      <c r="B255" s="8">
        <v>2.000050584E9</v>
      </c>
      <c r="C255" s="7" t="s">
        <v>479</v>
      </c>
      <c r="D255" s="3" t="s">
        <v>11</v>
      </c>
      <c r="E255" s="3" t="s">
        <v>59</v>
      </c>
      <c r="F255" s="27" t="s">
        <v>480</v>
      </c>
      <c r="G255" s="11"/>
      <c r="H255" s="11"/>
      <c r="I255" s="6"/>
      <c r="J255" s="6"/>
    </row>
    <row r="256">
      <c r="A256" s="7" t="s">
        <v>8</v>
      </c>
      <c r="B256" s="8">
        <v>2.000050585E9</v>
      </c>
      <c r="C256" s="7" t="s">
        <v>481</v>
      </c>
      <c r="D256" s="3" t="s">
        <v>162</v>
      </c>
      <c r="E256" s="3" t="s">
        <v>59</v>
      </c>
      <c r="F256" s="27" t="s">
        <v>482</v>
      </c>
      <c r="G256" s="11"/>
      <c r="H256" s="11"/>
      <c r="I256" s="6"/>
      <c r="J256" s="6"/>
    </row>
    <row r="257">
      <c r="A257" s="7" t="s">
        <v>8</v>
      </c>
      <c r="B257" s="8">
        <v>2.000050586E9</v>
      </c>
      <c r="C257" s="7" t="s">
        <v>483</v>
      </c>
      <c r="D257" s="3" t="s">
        <v>162</v>
      </c>
      <c r="E257" s="3" t="s">
        <v>59</v>
      </c>
      <c r="F257" s="27" t="s">
        <v>484</v>
      </c>
      <c r="G257" s="11"/>
      <c r="H257" s="11"/>
      <c r="I257" s="6"/>
      <c r="J257" s="6"/>
    </row>
    <row r="258">
      <c r="A258" s="7" t="s">
        <v>66</v>
      </c>
      <c r="B258" s="8">
        <v>7.00070068E9</v>
      </c>
      <c r="C258" s="7" t="s">
        <v>485</v>
      </c>
      <c r="D258" s="3" t="s">
        <v>11</v>
      </c>
      <c r="E258" s="3" t="s">
        <v>324</v>
      </c>
      <c r="F258" s="27" t="s">
        <v>486</v>
      </c>
      <c r="G258" s="11"/>
      <c r="H258" s="11"/>
      <c r="I258" s="26" t="s">
        <v>427</v>
      </c>
      <c r="J258" s="6"/>
    </row>
    <row r="259">
      <c r="A259" s="7" t="s">
        <v>66</v>
      </c>
      <c r="B259" s="8">
        <v>7.000700681E9</v>
      </c>
      <c r="C259" s="7" t="s">
        <v>487</v>
      </c>
      <c r="D259" s="3" t="s">
        <v>11</v>
      </c>
      <c r="E259" s="3" t="s">
        <v>324</v>
      </c>
      <c r="F259" s="27" t="s">
        <v>488</v>
      </c>
      <c r="G259" s="11"/>
      <c r="H259" s="11"/>
      <c r="I259" s="6"/>
      <c r="J259" s="6"/>
    </row>
    <row r="260">
      <c r="A260" s="7" t="s">
        <v>66</v>
      </c>
      <c r="B260" s="8">
        <v>7.000700682E9</v>
      </c>
      <c r="C260" s="7" t="s">
        <v>489</v>
      </c>
      <c r="D260" s="3" t="s">
        <v>11</v>
      </c>
      <c r="E260" s="3" t="s">
        <v>324</v>
      </c>
      <c r="F260" s="27" t="s">
        <v>490</v>
      </c>
      <c r="G260" s="11"/>
      <c r="H260" s="11"/>
      <c r="I260" s="26" t="s">
        <v>427</v>
      </c>
      <c r="J260" s="6"/>
    </row>
    <row r="261">
      <c r="A261" s="7" t="s">
        <v>66</v>
      </c>
      <c r="B261" s="8">
        <v>7.000700683E9</v>
      </c>
      <c r="C261" s="9" t="s">
        <v>491</v>
      </c>
      <c r="D261" s="3" t="s">
        <v>11</v>
      </c>
      <c r="E261" s="3" t="s">
        <v>324</v>
      </c>
      <c r="F261" s="27" t="s">
        <v>492</v>
      </c>
      <c r="G261" s="11"/>
      <c r="H261" s="11"/>
      <c r="I261" s="6"/>
      <c r="J261" s="6"/>
    </row>
    <row r="262">
      <c r="A262" s="7" t="s">
        <v>66</v>
      </c>
      <c r="B262" s="8">
        <v>7.000700684E9</v>
      </c>
      <c r="C262" s="29" t="s">
        <v>493</v>
      </c>
      <c r="D262" s="30" t="s">
        <v>11</v>
      </c>
      <c r="E262" s="30" t="s">
        <v>324</v>
      </c>
      <c r="F262" s="27" t="s">
        <v>494</v>
      </c>
      <c r="G262" s="11"/>
      <c r="H262" s="11"/>
      <c r="I262" s="6"/>
      <c r="J262" s="6"/>
    </row>
    <row r="263">
      <c r="A263" s="7" t="s">
        <v>66</v>
      </c>
      <c r="B263" s="8">
        <v>7.000700685E9</v>
      </c>
      <c r="C263" s="7" t="s">
        <v>495</v>
      </c>
      <c r="D263" s="3" t="s">
        <v>11</v>
      </c>
      <c r="E263" s="3" t="s">
        <v>324</v>
      </c>
      <c r="F263" s="27" t="s">
        <v>496</v>
      </c>
      <c r="G263" s="11"/>
      <c r="H263" s="11"/>
      <c r="I263" s="6"/>
      <c r="J263" s="6"/>
    </row>
    <row r="264">
      <c r="A264" s="7" t="s">
        <v>8</v>
      </c>
      <c r="B264" s="8">
        <v>7.000700686E9</v>
      </c>
      <c r="C264" s="7" t="s">
        <v>497</v>
      </c>
      <c r="D264" s="3" t="s">
        <v>11</v>
      </c>
      <c r="E264" s="3" t="s">
        <v>30</v>
      </c>
      <c r="F264" s="10" t="s">
        <v>37</v>
      </c>
      <c r="G264" s="11"/>
      <c r="H264" s="11"/>
      <c r="I264" s="6"/>
      <c r="J264" s="6"/>
    </row>
    <row r="265">
      <c r="A265" s="7" t="s">
        <v>8</v>
      </c>
      <c r="B265" s="8">
        <v>7.000700687E9</v>
      </c>
      <c r="C265" s="29" t="s">
        <v>498</v>
      </c>
      <c r="D265" s="30" t="s">
        <v>11</v>
      </c>
      <c r="E265" s="30" t="s">
        <v>324</v>
      </c>
      <c r="F265" s="27" t="s">
        <v>499</v>
      </c>
      <c r="G265" s="11"/>
      <c r="H265" s="11"/>
      <c r="I265" s="6"/>
      <c r="J265" s="6"/>
    </row>
    <row r="266">
      <c r="A266" s="7" t="s">
        <v>66</v>
      </c>
      <c r="B266" s="8">
        <v>7.000700688E9</v>
      </c>
      <c r="C266" s="7" t="s">
        <v>500</v>
      </c>
      <c r="D266" s="3" t="s">
        <v>11</v>
      </c>
      <c r="E266" s="3" t="s">
        <v>30</v>
      </c>
      <c r="F266" s="10" t="s">
        <v>37</v>
      </c>
      <c r="G266" s="11"/>
      <c r="H266" s="11"/>
      <c r="I266" s="6"/>
      <c r="J266" s="6"/>
    </row>
    <row r="267">
      <c r="A267" s="7" t="s">
        <v>66</v>
      </c>
      <c r="B267" s="8">
        <v>7.000700689E9</v>
      </c>
      <c r="C267" s="9" t="s">
        <v>501</v>
      </c>
      <c r="D267" s="3" t="s">
        <v>11</v>
      </c>
      <c r="E267" s="3" t="s">
        <v>324</v>
      </c>
      <c r="F267" s="27" t="s">
        <v>502</v>
      </c>
      <c r="G267" s="11"/>
      <c r="H267" s="11"/>
      <c r="I267" s="6"/>
      <c r="J267" s="6"/>
    </row>
    <row r="268">
      <c r="A268" s="7" t="s">
        <v>66</v>
      </c>
      <c r="B268" s="8">
        <v>7.000000906E9</v>
      </c>
      <c r="C268" s="7" t="s">
        <v>503</v>
      </c>
      <c r="D268" s="3" t="s">
        <v>11</v>
      </c>
      <c r="E268" s="3" t="s">
        <v>324</v>
      </c>
      <c r="F268" s="27" t="s">
        <v>504</v>
      </c>
      <c r="G268" s="11"/>
      <c r="H268" s="11"/>
      <c r="I268" s="6"/>
      <c r="J268" s="6"/>
    </row>
    <row r="269">
      <c r="A269" s="7" t="s">
        <v>66</v>
      </c>
      <c r="B269" s="8">
        <v>2.000050587E9</v>
      </c>
      <c r="C269" s="7" t="s">
        <v>505</v>
      </c>
      <c r="D269" s="3" t="s">
        <v>162</v>
      </c>
      <c r="E269" s="3" t="s">
        <v>59</v>
      </c>
      <c r="F269" s="27" t="s">
        <v>506</v>
      </c>
      <c r="G269" s="11"/>
      <c r="H269" s="11"/>
      <c r="I269" s="6"/>
      <c r="J269" s="6"/>
    </row>
    <row r="270">
      <c r="A270" s="7" t="s">
        <v>66</v>
      </c>
      <c r="B270" s="8">
        <v>2.000050588E9</v>
      </c>
      <c r="C270" s="7" t="s">
        <v>507</v>
      </c>
      <c r="D270" s="3" t="s">
        <v>11</v>
      </c>
      <c r="E270" s="3" t="s">
        <v>324</v>
      </c>
      <c r="F270" s="27" t="s">
        <v>508</v>
      </c>
      <c r="G270" s="11"/>
      <c r="H270" s="11"/>
      <c r="I270" s="6"/>
      <c r="J270" s="6"/>
    </row>
    <row r="271">
      <c r="A271" s="7" t="s">
        <v>66</v>
      </c>
      <c r="B271" s="8">
        <v>2.000050589E9</v>
      </c>
      <c r="C271" s="7" t="s">
        <v>509</v>
      </c>
      <c r="D271" s="3" t="s">
        <v>11</v>
      </c>
      <c r="E271" s="3" t="s">
        <v>30</v>
      </c>
      <c r="F271" s="10" t="s">
        <v>37</v>
      </c>
      <c r="G271" s="11"/>
      <c r="H271" s="11"/>
      <c r="I271" s="6"/>
      <c r="J271" s="6"/>
    </row>
    <row r="272">
      <c r="A272" s="7" t="s">
        <v>66</v>
      </c>
      <c r="B272" s="8">
        <v>2.00005059E9</v>
      </c>
      <c r="C272" s="7" t="s">
        <v>510</v>
      </c>
      <c r="D272" s="3" t="s">
        <v>11</v>
      </c>
      <c r="E272" s="3" t="s">
        <v>324</v>
      </c>
      <c r="F272" s="27" t="s">
        <v>511</v>
      </c>
      <c r="G272" s="11"/>
      <c r="H272" s="11"/>
      <c r="I272" s="6"/>
      <c r="J272" s="6"/>
    </row>
    <row r="273">
      <c r="A273" s="7" t="s">
        <v>66</v>
      </c>
      <c r="B273" s="8">
        <v>7.00070069E9</v>
      </c>
      <c r="C273" s="7" t="s">
        <v>512</v>
      </c>
      <c r="D273" s="3" t="s">
        <v>11</v>
      </c>
      <c r="E273" s="3" t="s">
        <v>324</v>
      </c>
      <c r="F273" s="27" t="s">
        <v>513</v>
      </c>
      <c r="G273" s="11"/>
      <c r="H273" s="11"/>
      <c r="I273" s="6"/>
      <c r="J273" s="6"/>
    </row>
    <row r="274">
      <c r="A274" s="7" t="s">
        <v>66</v>
      </c>
      <c r="B274" s="8" t="s">
        <v>514</v>
      </c>
      <c r="C274" s="7" t="s">
        <v>515</v>
      </c>
      <c r="D274" s="3" t="s">
        <v>200</v>
      </c>
      <c r="E274" s="3" t="s">
        <v>30</v>
      </c>
      <c r="F274" s="3" t="s">
        <v>37</v>
      </c>
      <c r="G274" s="11"/>
      <c r="H274" s="11"/>
      <c r="I274" s="6"/>
      <c r="J274" s="6"/>
    </row>
    <row r="275">
      <c r="A275" s="7" t="s">
        <v>66</v>
      </c>
      <c r="B275" s="8">
        <v>2.000050591E9</v>
      </c>
      <c r="C275" s="7" t="s">
        <v>516</v>
      </c>
      <c r="D275" s="3" t="s">
        <v>11</v>
      </c>
      <c r="E275" s="3" t="s">
        <v>324</v>
      </c>
      <c r="F275" s="27" t="s">
        <v>517</v>
      </c>
      <c r="G275" s="11"/>
      <c r="H275" s="11"/>
      <c r="I275" s="6"/>
      <c r="J275" s="6"/>
    </row>
    <row r="276">
      <c r="A276" s="7" t="s">
        <v>66</v>
      </c>
      <c r="B276" s="8">
        <v>2.000050592E9</v>
      </c>
      <c r="C276" s="7" t="s">
        <v>518</v>
      </c>
      <c r="D276" s="3" t="s">
        <v>11</v>
      </c>
      <c r="E276" s="3" t="s">
        <v>324</v>
      </c>
      <c r="F276" s="27" t="s">
        <v>519</v>
      </c>
      <c r="G276" s="11"/>
      <c r="H276" s="11"/>
      <c r="I276" s="6"/>
      <c r="J276" s="6"/>
    </row>
    <row r="277">
      <c r="A277" s="7" t="s">
        <v>66</v>
      </c>
      <c r="B277" s="8">
        <v>2.000003089E9</v>
      </c>
      <c r="C277" s="7" t="s">
        <v>520</v>
      </c>
      <c r="D277" s="3" t="s">
        <v>11</v>
      </c>
      <c r="E277" s="3" t="s">
        <v>324</v>
      </c>
      <c r="F277" s="27" t="s">
        <v>521</v>
      </c>
      <c r="G277" s="11"/>
      <c r="H277" s="11"/>
      <c r="I277" s="6"/>
      <c r="J277" s="6"/>
    </row>
    <row r="278">
      <c r="A278" s="7" t="s">
        <v>8</v>
      </c>
      <c r="B278" s="8">
        <v>2.000050509E9</v>
      </c>
      <c r="C278" s="7" t="s">
        <v>522</v>
      </c>
      <c r="D278" s="3" t="s">
        <v>11</v>
      </c>
      <c r="E278" s="3" t="s">
        <v>324</v>
      </c>
      <c r="F278" s="27" t="s">
        <v>523</v>
      </c>
      <c r="G278" s="11"/>
      <c r="H278" s="3" t="s">
        <v>298</v>
      </c>
      <c r="I278" s="6"/>
      <c r="J278" s="6"/>
    </row>
    <row r="279">
      <c r="A279" s="7" t="s">
        <v>8</v>
      </c>
      <c r="B279" s="8">
        <v>2.000050547E9</v>
      </c>
      <c r="C279" s="7" t="s">
        <v>524</v>
      </c>
      <c r="D279" s="3" t="s">
        <v>11</v>
      </c>
      <c r="E279" s="3" t="s">
        <v>324</v>
      </c>
      <c r="F279" s="27" t="s">
        <v>525</v>
      </c>
      <c r="G279" s="11"/>
      <c r="H279" s="11"/>
      <c r="I279" s="6"/>
      <c r="J279" s="6"/>
    </row>
    <row r="280">
      <c r="A280" s="7" t="s">
        <v>66</v>
      </c>
      <c r="B280" s="8">
        <v>7.000700691E9</v>
      </c>
      <c r="C280" s="7" t="s">
        <v>526</v>
      </c>
      <c r="D280" s="3" t="s">
        <v>11</v>
      </c>
      <c r="E280" s="3" t="s">
        <v>324</v>
      </c>
      <c r="F280" s="27" t="s">
        <v>527</v>
      </c>
      <c r="G280" s="11"/>
      <c r="H280" s="11"/>
      <c r="I280" s="26" t="s">
        <v>427</v>
      </c>
      <c r="J280" s="6"/>
    </row>
    <row r="281">
      <c r="A281" s="7" t="s">
        <v>66</v>
      </c>
      <c r="B281" s="8">
        <v>7.000700692E9</v>
      </c>
      <c r="C281" s="7" t="s">
        <v>528</v>
      </c>
      <c r="D281" s="3" t="s">
        <v>11</v>
      </c>
      <c r="E281" s="3" t="s">
        <v>324</v>
      </c>
      <c r="F281" s="27" t="s">
        <v>529</v>
      </c>
      <c r="G281" s="11"/>
      <c r="H281" s="11"/>
      <c r="I281" s="6"/>
      <c r="J281" s="6"/>
    </row>
    <row r="282">
      <c r="A282" s="7" t="s">
        <v>66</v>
      </c>
      <c r="B282" s="8">
        <v>7.000700693E9</v>
      </c>
      <c r="C282" s="7" t="s">
        <v>530</v>
      </c>
      <c r="D282" s="3" t="s">
        <v>11</v>
      </c>
      <c r="E282" s="3" t="s">
        <v>30</v>
      </c>
      <c r="F282" s="10" t="s">
        <v>37</v>
      </c>
      <c r="G282" s="11"/>
      <c r="H282" s="11"/>
      <c r="I282" s="6"/>
      <c r="J282" s="6"/>
    </row>
    <row r="283">
      <c r="A283" s="7" t="s">
        <v>66</v>
      </c>
      <c r="B283" s="8">
        <v>7.000700694E9</v>
      </c>
      <c r="C283" s="7" t="s">
        <v>531</v>
      </c>
      <c r="D283" s="3" t="s">
        <v>11</v>
      </c>
      <c r="E283" s="3" t="s">
        <v>324</v>
      </c>
      <c r="F283" s="27" t="s">
        <v>532</v>
      </c>
      <c r="G283" s="11"/>
      <c r="H283" s="11"/>
      <c r="I283" s="6"/>
      <c r="J283" s="6"/>
    </row>
    <row r="284">
      <c r="A284" s="7" t="s">
        <v>66</v>
      </c>
      <c r="B284" s="8">
        <v>7.000700695E9</v>
      </c>
      <c r="C284" s="7" t="s">
        <v>533</v>
      </c>
      <c r="D284" s="3" t="s">
        <v>11</v>
      </c>
      <c r="E284" s="3" t="s">
        <v>324</v>
      </c>
      <c r="F284" s="27" t="s">
        <v>534</v>
      </c>
      <c r="G284" s="11"/>
      <c r="H284" s="11"/>
      <c r="I284" s="6"/>
      <c r="J284" s="6"/>
    </row>
    <row r="285">
      <c r="A285" s="7" t="s">
        <v>66</v>
      </c>
      <c r="B285" s="8">
        <v>7.000700696E9</v>
      </c>
      <c r="C285" s="7" t="s">
        <v>535</v>
      </c>
      <c r="D285" s="3" t="s">
        <v>11</v>
      </c>
      <c r="E285" s="3" t="s">
        <v>324</v>
      </c>
      <c r="F285" s="27" t="s">
        <v>536</v>
      </c>
      <c r="G285" s="11"/>
      <c r="H285" s="11"/>
      <c r="I285" s="6"/>
      <c r="J285" s="6"/>
    </row>
    <row r="286">
      <c r="A286" s="7" t="s">
        <v>66</v>
      </c>
      <c r="B286" s="8">
        <v>7.000700697E9</v>
      </c>
      <c r="C286" s="7" t="s">
        <v>537</v>
      </c>
      <c r="D286" s="3" t="s">
        <v>11</v>
      </c>
      <c r="E286" s="3" t="s">
        <v>30</v>
      </c>
      <c r="F286" s="10" t="s">
        <v>37</v>
      </c>
      <c r="G286" s="11"/>
      <c r="H286" s="11"/>
      <c r="I286" s="6"/>
      <c r="J286" s="6"/>
    </row>
    <row r="287">
      <c r="A287" s="7" t="s">
        <v>66</v>
      </c>
      <c r="B287" s="8">
        <v>7.000700698E9</v>
      </c>
      <c r="C287" s="7" t="s">
        <v>538</v>
      </c>
      <c r="D287" s="3" t="s">
        <v>11</v>
      </c>
      <c r="E287" s="3" t="s">
        <v>324</v>
      </c>
      <c r="F287" s="27" t="s">
        <v>539</v>
      </c>
      <c r="G287" s="11"/>
      <c r="H287" s="11"/>
      <c r="I287" s="6"/>
      <c r="J287" s="6"/>
    </row>
    <row r="288">
      <c r="A288" s="7" t="s">
        <v>66</v>
      </c>
      <c r="B288" s="8">
        <v>7.000700699E9</v>
      </c>
      <c r="C288" s="7" t="s">
        <v>540</v>
      </c>
      <c r="D288" s="3" t="s">
        <v>11</v>
      </c>
      <c r="E288" s="3" t="s">
        <v>30</v>
      </c>
      <c r="F288" s="10" t="s">
        <v>37</v>
      </c>
      <c r="G288" s="11"/>
      <c r="H288" s="11"/>
      <c r="I288" s="6"/>
      <c r="J288" s="6"/>
    </row>
    <row r="289">
      <c r="A289" s="7" t="s">
        <v>66</v>
      </c>
      <c r="B289" s="8">
        <v>7.000005475E9</v>
      </c>
      <c r="C289" s="7" t="s">
        <v>541</v>
      </c>
      <c r="D289" s="3" t="s">
        <v>11</v>
      </c>
      <c r="E289" s="3" t="s">
        <v>324</v>
      </c>
      <c r="F289" s="27" t="s">
        <v>542</v>
      </c>
      <c r="G289" s="11"/>
      <c r="H289" s="11"/>
      <c r="I289" s="6"/>
      <c r="J289" s="6"/>
    </row>
    <row r="290">
      <c r="A290" s="7" t="s">
        <v>66</v>
      </c>
      <c r="B290" s="8">
        <v>7.000700624E9</v>
      </c>
      <c r="C290" s="7" t="s">
        <v>543</v>
      </c>
      <c r="D290" s="3" t="s">
        <v>11</v>
      </c>
      <c r="E290" s="3" t="s">
        <v>324</v>
      </c>
      <c r="F290" s="27" t="s">
        <v>544</v>
      </c>
      <c r="G290" s="11"/>
      <c r="H290" s="11"/>
      <c r="I290" s="6"/>
      <c r="J290" s="6"/>
    </row>
    <row r="291">
      <c r="A291" s="7" t="s">
        <v>8</v>
      </c>
      <c r="B291" s="8">
        <v>7.000000008E9</v>
      </c>
      <c r="C291" s="29" t="s">
        <v>545</v>
      </c>
      <c r="D291" s="30" t="s">
        <v>11</v>
      </c>
      <c r="E291" s="30" t="s">
        <v>324</v>
      </c>
      <c r="F291" s="27" t="s">
        <v>546</v>
      </c>
      <c r="G291" s="11"/>
      <c r="H291" s="11"/>
      <c r="I291" s="26" t="s">
        <v>427</v>
      </c>
      <c r="J291" s="6"/>
    </row>
    <row r="292">
      <c r="A292" s="7" t="s">
        <v>66</v>
      </c>
      <c r="B292" s="8">
        <v>2.000050593E9</v>
      </c>
      <c r="C292" s="7" t="s">
        <v>547</v>
      </c>
      <c r="D292" s="3" t="s">
        <v>162</v>
      </c>
      <c r="E292" s="3" t="s">
        <v>59</v>
      </c>
      <c r="F292" s="27" t="s">
        <v>548</v>
      </c>
      <c r="G292" s="11"/>
      <c r="H292" s="11"/>
      <c r="I292" s="6"/>
      <c r="J292" s="6"/>
    </row>
    <row r="293">
      <c r="A293" s="7" t="s">
        <v>66</v>
      </c>
      <c r="B293" s="8">
        <v>2.000050594E9</v>
      </c>
      <c r="C293" s="7" t="s">
        <v>549</v>
      </c>
      <c r="D293" s="3" t="s">
        <v>162</v>
      </c>
      <c r="E293" s="3" t="s">
        <v>59</v>
      </c>
      <c r="F293" s="27" t="s">
        <v>550</v>
      </c>
      <c r="G293" s="11"/>
      <c r="H293" s="11"/>
      <c r="I293" s="6"/>
      <c r="J293" s="6"/>
    </row>
    <row r="294">
      <c r="A294" s="7" t="s">
        <v>66</v>
      </c>
      <c r="B294" s="8">
        <v>2.000050595E9</v>
      </c>
      <c r="C294" s="7" t="s">
        <v>551</v>
      </c>
      <c r="D294" s="3" t="s">
        <v>162</v>
      </c>
      <c r="E294" s="3" t="s">
        <v>59</v>
      </c>
      <c r="F294" s="27" t="s">
        <v>552</v>
      </c>
      <c r="G294" s="11"/>
      <c r="H294" s="11"/>
      <c r="I294" s="6"/>
      <c r="J294" s="6"/>
    </row>
    <row r="295">
      <c r="A295" s="7" t="s">
        <v>66</v>
      </c>
      <c r="B295" s="8">
        <v>2.000050596E9</v>
      </c>
      <c r="C295" s="7" t="s">
        <v>553</v>
      </c>
      <c r="D295" s="3" t="s">
        <v>11</v>
      </c>
      <c r="E295" s="3" t="s">
        <v>324</v>
      </c>
      <c r="F295" s="27" t="s">
        <v>554</v>
      </c>
      <c r="G295" s="11"/>
      <c r="H295" s="11"/>
      <c r="I295" s="6"/>
      <c r="J295" s="6"/>
    </row>
    <row r="296">
      <c r="A296" s="7" t="s">
        <v>66</v>
      </c>
      <c r="B296" s="8">
        <v>7.0007007E9</v>
      </c>
      <c r="C296" s="7" t="s">
        <v>555</v>
      </c>
      <c r="D296" s="3" t="s">
        <v>162</v>
      </c>
      <c r="E296" s="3" t="s">
        <v>59</v>
      </c>
      <c r="F296" s="27" t="s">
        <v>556</v>
      </c>
      <c r="G296" s="11"/>
      <c r="H296" s="11"/>
      <c r="I296" s="6"/>
      <c r="J296" s="6"/>
    </row>
    <row r="297">
      <c r="A297" s="7" t="s">
        <v>66</v>
      </c>
      <c r="B297" s="8">
        <v>7.000700702E9</v>
      </c>
      <c r="C297" s="7" t="s">
        <v>557</v>
      </c>
      <c r="D297" s="3" t="s">
        <v>11</v>
      </c>
      <c r="E297" s="3" t="s">
        <v>324</v>
      </c>
      <c r="F297" s="27" t="s">
        <v>558</v>
      </c>
      <c r="G297" s="11"/>
      <c r="H297" s="11"/>
      <c r="I297" s="6"/>
      <c r="J297" s="6"/>
    </row>
    <row r="298">
      <c r="A298" s="7" t="s">
        <v>66</v>
      </c>
      <c r="B298" s="8">
        <v>7.000002863E9</v>
      </c>
      <c r="C298" s="7" t="s">
        <v>559</v>
      </c>
      <c r="D298" s="3" t="s">
        <v>11</v>
      </c>
      <c r="E298" s="3" t="s">
        <v>30</v>
      </c>
      <c r="F298" s="10" t="s">
        <v>37</v>
      </c>
      <c r="G298" s="11"/>
      <c r="H298" s="11"/>
      <c r="I298" s="6"/>
      <c r="J298" s="6"/>
    </row>
    <row r="299">
      <c r="A299" s="7" t="s">
        <v>66</v>
      </c>
      <c r="B299" s="8">
        <v>7.000700637E9</v>
      </c>
      <c r="C299" s="7" t="s">
        <v>560</v>
      </c>
      <c r="D299" s="3" t="s">
        <v>11</v>
      </c>
      <c r="E299" s="3" t="s">
        <v>324</v>
      </c>
      <c r="F299" s="27" t="s">
        <v>561</v>
      </c>
      <c r="G299" s="11"/>
      <c r="H299" s="11"/>
      <c r="I299" s="6"/>
      <c r="J299" s="6"/>
    </row>
    <row r="300">
      <c r="A300" s="7" t="s">
        <v>8</v>
      </c>
      <c r="B300" s="8">
        <v>7.000005543E9</v>
      </c>
      <c r="C300" s="7" t="s">
        <v>562</v>
      </c>
      <c r="D300" s="3" t="s">
        <v>11</v>
      </c>
      <c r="E300" s="3" t="s">
        <v>324</v>
      </c>
      <c r="F300" s="27" t="s">
        <v>563</v>
      </c>
      <c r="G300" s="11"/>
      <c r="H300" s="11"/>
      <c r="I300" s="6"/>
      <c r="J300" s="6"/>
    </row>
    <row r="301">
      <c r="A301" s="7" t="s">
        <v>8</v>
      </c>
      <c r="B301" s="8">
        <v>7.000005562E9</v>
      </c>
      <c r="C301" s="7" t="s">
        <v>564</v>
      </c>
      <c r="D301" s="3" t="s">
        <v>11</v>
      </c>
      <c r="E301" s="3" t="s">
        <v>324</v>
      </c>
      <c r="F301" s="27" t="s">
        <v>565</v>
      </c>
      <c r="G301" s="11"/>
      <c r="H301" s="11"/>
      <c r="I301" s="6"/>
      <c r="J301" s="6"/>
    </row>
    <row r="302">
      <c r="A302" s="7" t="s">
        <v>8</v>
      </c>
      <c r="B302" s="8">
        <v>7.000700514E9</v>
      </c>
      <c r="C302" s="7" t="s">
        <v>566</v>
      </c>
      <c r="D302" s="3" t="s">
        <v>11</v>
      </c>
      <c r="E302" s="3" t="s">
        <v>324</v>
      </c>
      <c r="F302" s="27" t="s">
        <v>567</v>
      </c>
      <c r="G302" s="11"/>
      <c r="H302" s="11"/>
      <c r="I302" s="6"/>
      <c r="J302" s="6"/>
    </row>
    <row r="303">
      <c r="A303" s="7" t="s">
        <v>8</v>
      </c>
      <c r="B303" s="8">
        <v>7.000700536E9</v>
      </c>
      <c r="C303" s="7" t="s">
        <v>568</v>
      </c>
      <c r="D303" s="3" t="s">
        <v>11</v>
      </c>
      <c r="E303" s="3" t="s">
        <v>30</v>
      </c>
      <c r="F303" s="10" t="s">
        <v>37</v>
      </c>
      <c r="G303" s="11"/>
      <c r="H303" s="11"/>
      <c r="I303" s="6"/>
      <c r="J303" s="6"/>
    </row>
    <row r="304">
      <c r="A304" s="7" t="s">
        <v>14</v>
      </c>
      <c r="B304" s="8">
        <v>7.000700546E9</v>
      </c>
      <c r="C304" s="7" t="s">
        <v>569</v>
      </c>
      <c r="D304" s="3" t="s">
        <v>11</v>
      </c>
      <c r="E304" s="3" t="s">
        <v>324</v>
      </c>
      <c r="F304" s="27" t="s">
        <v>570</v>
      </c>
      <c r="G304" s="11"/>
      <c r="H304" s="11"/>
      <c r="I304" s="6"/>
      <c r="J304" s="6"/>
    </row>
    <row r="305">
      <c r="A305" s="7" t="s">
        <v>66</v>
      </c>
      <c r="B305" s="8">
        <v>2.00000009E9</v>
      </c>
      <c r="C305" s="7" t="s">
        <v>571</v>
      </c>
      <c r="D305" s="3" t="s">
        <v>11</v>
      </c>
      <c r="E305" s="3" t="s">
        <v>324</v>
      </c>
      <c r="F305" s="27" t="s">
        <v>572</v>
      </c>
      <c r="G305" s="11"/>
      <c r="H305" s="11"/>
      <c r="I305" s="6"/>
      <c r="J305" s="6"/>
    </row>
    <row r="306">
      <c r="A306" s="7" t="s">
        <v>66</v>
      </c>
      <c r="B306" s="8">
        <v>2.000050597E9</v>
      </c>
      <c r="C306" s="7" t="s">
        <v>573</v>
      </c>
      <c r="D306" s="3" t="s">
        <v>200</v>
      </c>
      <c r="E306" s="3" t="s">
        <v>59</v>
      </c>
      <c r="F306" s="27" t="s">
        <v>574</v>
      </c>
      <c r="G306" s="11"/>
      <c r="H306" s="11"/>
      <c r="I306" s="6"/>
      <c r="J306" s="6"/>
    </row>
    <row r="307">
      <c r="A307" s="7" t="s">
        <v>66</v>
      </c>
      <c r="B307" s="8">
        <v>2.000050598E9</v>
      </c>
      <c r="C307" s="7" t="s">
        <v>575</v>
      </c>
      <c r="D307" s="3" t="s">
        <v>11</v>
      </c>
      <c r="E307" s="3" t="s">
        <v>324</v>
      </c>
      <c r="F307" s="27" t="s">
        <v>576</v>
      </c>
      <c r="G307" s="11"/>
      <c r="H307" s="11"/>
      <c r="I307" s="6"/>
      <c r="J307" s="6"/>
    </row>
    <row r="308">
      <c r="A308" s="7" t="s">
        <v>66</v>
      </c>
      <c r="B308" s="8">
        <v>2.000050599E9</v>
      </c>
      <c r="C308" s="7" t="s">
        <v>577</v>
      </c>
      <c r="D308" s="3" t="s">
        <v>11</v>
      </c>
      <c r="E308" s="3" t="s">
        <v>324</v>
      </c>
      <c r="F308" s="27" t="s">
        <v>578</v>
      </c>
      <c r="G308" s="11"/>
      <c r="H308" s="11"/>
      <c r="I308" s="6"/>
      <c r="J308" s="6"/>
    </row>
    <row r="309">
      <c r="A309" s="7" t="s">
        <v>66</v>
      </c>
      <c r="B309" s="8">
        <v>2.0000506E9</v>
      </c>
      <c r="C309" s="7" t="s">
        <v>579</v>
      </c>
      <c r="D309" s="3" t="s">
        <v>11</v>
      </c>
      <c r="E309" s="3" t="s">
        <v>59</v>
      </c>
      <c r="F309" s="10" t="s">
        <v>37</v>
      </c>
      <c r="G309" s="11"/>
      <c r="H309" s="3" t="s">
        <v>298</v>
      </c>
      <c r="I309" s="6"/>
      <c r="J309" s="6"/>
    </row>
    <row r="310">
      <c r="A310" s="7" t="s">
        <v>66</v>
      </c>
      <c r="B310" s="8">
        <v>2.000050601E9</v>
      </c>
      <c r="C310" s="7" t="s">
        <v>580</v>
      </c>
      <c r="D310" s="3" t="s">
        <v>179</v>
      </c>
      <c r="E310" s="3" t="s">
        <v>59</v>
      </c>
      <c r="F310" s="27" t="s">
        <v>581</v>
      </c>
      <c r="G310" s="11"/>
      <c r="H310" s="11"/>
      <c r="I310" s="6"/>
      <c r="J310" s="6"/>
    </row>
    <row r="311">
      <c r="A311" s="7" t="s">
        <v>66</v>
      </c>
      <c r="B311" s="8">
        <v>2.000050602E9</v>
      </c>
      <c r="C311" s="7" t="s">
        <v>582</v>
      </c>
      <c r="D311" s="3" t="s">
        <v>162</v>
      </c>
      <c r="E311" s="3" t="s">
        <v>59</v>
      </c>
      <c r="F311" s="27" t="s">
        <v>583</v>
      </c>
      <c r="G311" s="11"/>
      <c r="H311" s="11"/>
      <c r="I311" s="6"/>
      <c r="J311" s="6"/>
    </row>
    <row r="312">
      <c r="A312" s="7" t="s">
        <v>66</v>
      </c>
      <c r="B312" s="8">
        <v>7.000700703E9</v>
      </c>
      <c r="C312" s="29" t="s">
        <v>584</v>
      </c>
      <c r="D312" s="30" t="s">
        <v>11</v>
      </c>
      <c r="E312" s="30" t="s">
        <v>324</v>
      </c>
      <c r="F312" s="27" t="s">
        <v>585</v>
      </c>
      <c r="G312" s="11"/>
      <c r="H312" s="11"/>
      <c r="I312" s="6"/>
      <c r="J312" s="6"/>
    </row>
    <row r="313">
      <c r="A313" s="7" t="s">
        <v>66</v>
      </c>
      <c r="B313" s="8">
        <v>7.000700704E9</v>
      </c>
      <c r="C313" s="7" t="s">
        <v>586</v>
      </c>
      <c r="D313" s="3" t="s">
        <v>11</v>
      </c>
      <c r="E313" s="3" t="s">
        <v>324</v>
      </c>
      <c r="F313" s="27" t="s">
        <v>587</v>
      </c>
      <c r="G313" s="11"/>
      <c r="H313" s="11"/>
      <c r="I313" s="6"/>
      <c r="J313" s="6"/>
    </row>
    <row r="314">
      <c r="A314" s="7" t="s">
        <v>66</v>
      </c>
      <c r="B314" s="8">
        <v>7.000700705E9</v>
      </c>
      <c r="C314" s="7" t="s">
        <v>588</v>
      </c>
      <c r="D314" s="3" t="s">
        <v>11</v>
      </c>
      <c r="E314" s="3" t="s">
        <v>324</v>
      </c>
      <c r="F314" s="27" t="s">
        <v>589</v>
      </c>
      <c r="G314" s="11"/>
      <c r="H314" s="11"/>
      <c r="I314" s="6"/>
      <c r="J314" s="6"/>
    </row>
    <row r="315">
      <c r="A315" s="7" t="s">
        <v>8</v>
      </c>
      <c r="B315" s="8">
        <v>7.000700706E9</v>
      </c>
      <c r="C315" s="7" t="s">
        <v>590</v>
      </c>
      <c r="D315" s="3" t="s">
        <v>11</v>
      </c>
      <c r="E315" s="3" t="s">
        <v>324</v>
      </c>
      <c r="F315" s="27" t="s">
        <v>591</v>
      </c>
      <c r="G315" s="11"/>
      <c r="H315" s="11"/>
      <c r="I315" s="6"/>
      <c r="J315" s="6"/>
    </row>
    <row r="316">
      <c r="A316" s="7" t="s">
        <v>8</v>
      </c>
      <c r="B316" s="8">
        <v>7.000700707E9</v>
      </c>
      <c r="C316" s="7" t="s">
        <v>592</v>
      </c>
      <c r="D316" s="3" t="s">
        <v>11</v>
      </c>
      <c r="E316" s="3" t="s">
        <v>324</v>
      </c>
      <c r="F316" s="27" t="s">
        <v>593</v>
      </c>
      <c r="G316" s="11"/>
      <c r="H316" s="11"/>
      <c r="I316" s="6"/>
      <c r="J316" s="6"/>
    </row>
    <row r="317">
      <c r="A317" s="7" t="s">
        <v>66</v>
      </c>
      <c r="B317" s="8">
        <v>7.000700708E9</v>
      </c>
      <c r="C317" s="7" t="s">
        <v>594</v>
      </c>
      <c r="D317" s="3" t="s">
        <v>11</v>
      </c>
      <c r="E317" s="3" t="s">
        <v>30</v>
      </c>
      <c r="F317" s="10" t="s">
        <v>37</v>
      </c>
      <c r="G317" s="11"/>
      <c r="H317" s="11"/>
      <c r="I317" s="6"/>
      <c r="J317" s="6"/>
    </row>
    <row r="318">
      <c r="A318" s="7" t="s">
        <v>66</v>
      </c>
      <c r="B318" s="8">
        <v>7.000700709E9</v>
      </c>
      <c r="C318" s="7" t="s">
        <v>595</v>
      </c>
      <c r="D318" s="3" t="s">
        <v>11</v>
      </c>
      <c r="E318" s="3" t="s">
        <v>324</v>
      </c>
      <c r="F318" s="27" t="s">
        <v>596</v>
      </c>
      <c r="G318" s="11"/>
      <c r="H318" s="11"/>
      <c r="I318" s="26" t="s">
        <v>427</v>
      </c>
      <c r="J318" s="6"/>
    </row>
    <row r="319">
      <c r="A319" s="7" t="s">
        <v>66</v>
      </c>
      <c r="B319" s="8">
        <v>7.00070071E9</v>
      </c>
      <c r="C319" s="7" t="s">
        <v>597</v>
      </c>
      <c r="D319" s="3" t="s">
        <v>11</v>
      </c>
      <c r="E319" s="3" t="s">
        <v>324</v>
      </c>
      <c r="F319" s="27" t="s">
        <v>598</v>
      </c>
      <c r="G319" s="11"/>
      <c r="H319" s="11"/>
      <c r="I319" s="6"/>
      <c r="J319" s="6"/>
    </row>
    <row r="320">
      <c r="A320" s="7" t="s">
        <v>66</v>
      </c>
      <c r="B320" s="8">
        <v>7.00070053E9</v>
      </c>
      <c r="C320" s="7" t="s">
        <v>599</v>
      </c>
      <c r="D320" s="3" t="s">
        <v>11</v>
      </c>
      <c r="E320" s="3" t="s">
        <v>324</v>
      </c>
      <c r="F320" s="27" t="s">
        <v>600</v>
      </c>
      <c r="G320" s="11"/>
      <c r="H320" s="3" t="s">
        <v>298</v>
      </c>
      <c r="I320" s="6"/>
      <c r="J320" s="6"/>
    </row>
    <row r="321">
      <c r="A321" s="7" t="s">
        <v>66</v>
      </c>
      <c r="B321" s="8">
        <v>7.000700544E9</v>
      </c>
      <c r="C321" s="7" t="s">
        <v>601</v>
      </c>
      <c r="D321" s="3" t="s">
        <v>11</v>
      </c>
      <c r="E321" s="3" t="s">
        <v>324</v>
      </c>
      <c r="F321" s="27" t="s">
        <v>602</v>
      </c>
      <c r="G321" s="11"/>
      <c r="H321" s="11"/>
      <c r="I321" s="6"/>
      <c r="J321" s="6"/>
    </row>
    <row r="322">
      <c r="A322" s="7" t="s">
        <v>66</v>
      </c>
      <c r="B322" s="8">
        <v>7.00000546E9</v>
      </c>
      <c r="C322" s="7" t="s">
        <v>603</v>
      </c>
      <c r="D322" s="3" t="s">
        <v>11</v>
      </c>
      <c r="E322" s="3" t="s">
        <v>30</v>
      </c>
      <c r="F322" s="10" t="s">
        <v>37</v>
      </c>
      <c r="G322" s="11"/>
      <c r="H322" s="11"/>
      <c r="I322" s="6"/>
      <c r="J322" s="6"/>
    </row>
    <row r="323">
      <c r="A323" s="7" t="s">
        <v>66</v>
      </c>
      <c r="B323" s="8">
        <v>7.00000013E9</v>
      </c>
      <c r="C323" s="7" t="s">
        <v>604</v>
      </c>
      <c r="D323" s="3" t="s">
        <v>11</v>
      </c>
      <c r="E323" s="3" t="s">
        <v>324</v>
      </c>
      <c r="F323" s="27" t="s">
        <v>605</v>
      </c>
      <c r="G323" s="11"/>
      <c r="H323" s="3" t="s">
        <v>298</v>
      </c>
      <c r="I323" s="6"/>
      <c r="J323" s="6"/>
    </row>
    <row r="324">
      <c r="A324" s="7" t="s">
        <v>66</v>
      </c>
      <c r="B324" s="8">
        <v>2.000050603E9</v>
      </c>
      <c r="C324" s="7" t="s">
        <v>606</v>
      </c>
      <c r="D324" s="3" t="s">
        <v>162</v>
      </c>
      <c r="E324" s="3" t="s">
        <v>59</v>
      </c>
      <c r="F324" s="27" t="s">
        <v>607</v>
      </c>
      <c r="G324" s="11"/>
      <c r="H324" s="11"/>
      <c r="I324" s="6"/>
      <c r="J324" s="6"/>
    </row>
    <row r="325">
      <c r="A325" s="7" t="s">
        <v>66</v>
      </c>
      <c r="B325" s="8">
        <v>2.000050511E9</v>
      </c>
      <c r="C325" s="7" t="s">
        <v>608</v>
      </c>
      <c r="D325" s="3" t="s">
        <v>11</v>
      </c>
      <c r="E325" s="3" t="s">
        <v>324</v>
      </c>
      <c r="F325" s="27" t="s">
        <v>609</v>
      </c>
      <c r="G325" s="11"/>
      <c r="H325" s="11"/>
      <c r="I325" s="6"/>
      <c r="J325" s="6"/>
    </row>
    <row r="326">
      <c r="A326" s="7" t="s">
        <v>66</v>
      </c>
      <c r="B326" s="8">
        <v>7.000700711E9</v>
      </c>
      <c r="C326" s="7" t="s">
        <v>610</v>
      </c>
      <c r="D326" s="3" t="s">
        <v>11</v>
      </c>
      <c r="E326" s="3" t="s">
        <v>324</v>
      </c>
      <c r="F326" s="27" t="s">
        <v>611</v>
      </c>
      <c r="G326" s="11"/>
      <c r="H326" s="11"/>
      <c r="I326" s="6"/>
      <c r="J326" s="6"/>
    </row>
    <row r="327">
      <c r="A327" s="7" t="s">
        <v>8</v>
      </c>
      <c r="B327" s="8">
        <v>7.000700712E9</v>
      </c>
      <c r="C327" s="7" t="s">
        <v>612</v>
      </c>
      <c r="D327" s="3" t="s">
        <v>58</v>
      </c>
      <c r="E327" s="3" t="s">
        <v>59</v>
      </c>
      <c r="F327" s="27" t="s">
        <v>613</v>
      </c>
      <c r="G327" s="11"/>
      <c r="H327" s="3" t="s">
        <v>298</v>
      </c>
      <c r="I327" s="6"/>
      <c r="J327" s="6"/>
    </row>
    <row r="328">
      <c r="A328" s="7" t="s">
        <v>8</v>
      </c>
      <c r="B328" s="8">
        <v>7.000700713E9</v>
      </c>
      <c r="C328" s="7" t="s">
        <v>614</v>
      </c>
      <c r="D328" s="3" t="s">
        <v>11</v>
      </c>
      <c r="E328" s="3" t="s">
        <v>59</v>
      </c>
      <c r="F328" s="27" t="s">
        <v>615</v>
      </c>
      <c r="G328" s="11"/>
      <c r="H328" s="11"/>
      <c r="I328" s="6"/>
      <c r="J328" s="6"/>
    </row>
    <row r="329">
      <c r="A329" s="7" t="s">
        <v>8</v>
      </c>
      <c r="B329" s="8">
        <v>7.000700714E9</v>
      </c>
      <c r="C329" s="7" t="s">
        <v>616</v>
      </c>
      <c r="D329" s="3" t="s">
        <v>162</v>
      </c>
      <c r="E329" s="3" t="s">
        <v>59</v>
      </c>
      <c r="F329" s="27" t="s">
        <v>617</v>
      </c>
      <c r="G329" s="11"/>
      <c r="H329" s="11"/>
      <c r="I329" s="6"/>
      <c r="J329" s="6"/>
    </row>
    <row r="330">
      <c r="A330" s="7" t="s">
        <v>8</v>
      </c>
      <c r="B330" s="8">
        <v>7.000700715E9</v>
      </c>
      <c r="C330" s="7" t="s">
        <v>618</v>
      </c>
      <c r="D330" s="3" t="s">
        <v>11</v>
      </c>
      <c r="E330" s="3" t="s">
        <v>59</v>
      </c>
      <c r="F330" s="27" t="s">
        <v>619</v>
      </c>
      <c r="G330" s="11"/>
      <c r="H330" s="11"/>
      <c r="I330" s="6"/>
      <c r="J330" s="6"/>
    </row>
    <row r="331">
      <c r="A331" s="7" t="s">
        <v>8</v>
      </c>
      <c r="B331" s="8">
        <v>2.000050604E9</v>
      </c>
      <c r="C331" s="7" t="s">
        <v>620</v>
      </c>
      <c r="D331" s="3" t="s">
        <v>162</v>
      </c>
      <c r="E331" s="3" t="s">
        <v>59</v>
      </c>
      <c r="F331" s="27" t="s">
        <v>621</v>
      </c>
      <c r="G331" s="11"/>
      <c r="H331" s="11"/>
      <c r="I331" s="6"/>
      <c r="J331" s="6"/>
    </row>
    <row r="332">
      <c r="A332" s="7" t="s">
        <v>66</v>
      </c>
      <c r="B332" s="8">
        <v>2.000050605E9</v>
      </c>
      <c r="C332" s="7" t="s">
        <v>622</v>
      </c>
      <c r="D332" s="3" t="s">
        <v>162</v>
      </c>
      <c r="E332" s="3" t="s">
        <v>59</v>
      </c>
      <c r="F332" s="27" t="s">
        <v>623</v>
      </c>
      <c r="G332" s="11"/>
      <c r="H332" s="11"/>
      <c r="I332" s="6"/>
      <c r="J332" s="6"/>
    </row>
    <row r="333">
      <c r="A333" s="7" t="s">
        <v>66</v>
      </c>
      <c r="B333" s="8">
        <v>2.000050606E9</v>
      </c>
      <c r="C333" s="7" t="s">
        <v>624</v>
      </c>
      <c r="D333" s="3" t="s">
        <v>11</v>
      </c>
      <c r="E333" s="3" t="s">
        <v>59</v>
      </c>
      <c r="F333" s="27" t="s">
        <v>625</v>
      </c>
      <c r="G333" s="11"/>
      <c r="H333" s="11"/>
      <c r="I333" s="6"/>
      <c r="J333" s="6"/>
    </row>
    <row r="334">
      <c r="A334" s="7" t="s">
        <v>66</v>
      </c>
      <c r="B334" s="8">
        <v>2.000050607E9</v>
      </c>
      <c r="C334" s="7" t="s">
        <v>626</v>
      </c>
      <c r="D334" s="3" t="s">
        <v>58</v>
      </c>
      <c r="E334" s="3" t="s">
        <v>59</v>
      </c>
      <c r="F334" s="27" t="s">
        <v>627</v>
      </c>
      <c r="G334" s="11"/>
      <c r="H334" s="11"/>
      <c r="I334" s="6"/>
      <c r="J334" s="6"/>
    </row>
    <row r="335">
      <c r="A335" s="7" t="s">
        <v>66</v>
      </c>
      <c r="B335" s="8">
        <v>2.000050534E9</v>
      </c>
      <c r="C335" s="7" t="s">
        <v>628</v>
      </c>
      <c r="D335" s="3" t="s">
        <v>11</v>
      </c>
      <c r="E335" s="3" t="s">
        <v>30</v>
      </c>
      <c r="F335" s="10" t="s">
        <v>37</v>
      </c>
      <c r="G335" s="11"/>
      <c r="H335" s="11"/>
      <c r="I335" s="6"/>
      <c r="J335" s="6"/>
    </row>
    <row r="336">
      <c r="A336" s="7" t="s">
        <v>8</v>
      </c>
      <c r="B336" s="8">
        <v>7.000700716E9</v>
      </c>
      <c r="C336" s="7" t="s">
        <v>629</v>
      </c>
      <c r="D336" s="3" t="s">
        <v>11</v>
      </c>
      <c r="E336" s="3" t="s">
        <v>59</v>
      </c>
      <c r="F336" s="27" t="s">
        <v>630</v>
      </c>
      <c r="G336" s="11"/>
      <c r="H336" s="11"/>
      <c r="I336" s="6"/>
      <c r="J336" s="6"/>
    </row>
    <row r="337">
      <c r="A337" s="7" t="s">
        <v>8</v>
      </c>
      <c r="B337" s="8">
        <v>7.000700717E9</v>
      </c>
      <c r="C337" s="7" t="s">
        <v>631</v>
      </c>
      <c r="D337" s="3" t="s">
        <v>11</v>
      </c>
      <c r="E337" s="3" t="s">
        <v>30</v>
      </c>
      <c r="F337" s="10" t="s">
        <v>37</v>
      </c>
      <c r="G337" s="11"/>
      <c r="H337" s="11"/>
      <c r="I337" s="6"/>
      <c r="J337" s="6"/>
    </row>
    <row r="338">
      <c r="A338" s="7" t="s">
        <v>8</v>
      </c>
      <c r="B338" s="8">
        <v>7.000700718E9</v>
      </c>
      <c r="C338" s="7" t="s">
        <v>632</v>
      </c>
      <c r="D338" s="3" t="s">
        <v>58</v>
      </c>
      <c r="E338" s="3" t="s">
        <v>59</v>
      </c>
      <c r="F338" s="27" t="s">
        <v>633</v>
      </c>
      <c r="G338" s="11"/>
      <c r="H338" s="11"/>
      <c r="I338" s="6"/>
      <c r="J338" s="6"/>
    </row>
    <row r="339">
      <c r="A339" s="7" t="s">
        <v>8</v>
      </c>
      <c r="B339" s="8">
        <v>7.000700719E9</v>
      </c>
      <c r="C339" s="7" t="s">
        <v>634</v>
      </c>
      <c r="D339" s="3" t="s">
        <v>11</v>
      </c>
      <c r="E339" s="3" t="s">
        <v>30</v>
      </c>
      <c r="F339" s="10" t="s">
        <v>37</v>
      </c>
      <c r="G339" s="11"/>
      <c r="H339" s="11"/>
      <c r="I339" s="6"/>
      <c r="J339" s="6"/>
    </row>
    <row r="340">
      <c r="A340" s="7" t="s">
        <v>66</v>
      </c>
      <c r="B340" s="8">
        <v>7.000000122E9</v>
      </c>
      <c r="C340" s="7" t="s">
        <v>635</v>
      </c>
      <c r="D340" s="3" t="s">
        <v>11</v>
      </c>
      <c r="E340" s="3" t="s">
        <v>59</v>
      </c>
      <c r="F340" s="27" t="s">
        <v>636</v>
      </c>
      <c r="G340" s="11"/>
      <c r="H340" s="11"/>
      <c r="I340" s="6"/>
      <c r="J340" s="6"/>
    </row>
    <row r="341">
      <c r="A341" s="7" t="s">
        <v>66</v>
      </c>
      <c r="B341" s="8">
        <v>7.000700617E9</v>
      </c>
      <c r="C341" s="7" t="s">
        <v>637</v>
      </c>
      <c r="D341" s="3" t="s">
        <v>11</v>
      </c>
      <c r="E341" s="3" t="s">
        <v>59</v>
      </c>
      <c r="F341" s="27" t="s">
        <v>638</v>
      </c>
      <c r="G341" s="11"/>
      <c r="H341" s="11"/>
      <c r="I341" s="6"/>
      <c r="J341" s="6"/>
    </row>
    <row r="342">
      <c r="A342" s="7" t="s">
        <v>66</v>
      </c>
      <c r="B342" s="8">
        <v>7.000700547E9</v>
      </c>
      <c r="C342" s="7" t="s">
        <v>639</v>
      </c>
      <c r="D342" s="3" t="s">
        <v>11</v>
      </c>
      <c r="E342" s="3" t="s">
        <v>30</v>
      </c>
      <c r="F342" s="10" t="s">
        <v>37</v>
      </c>
      <c r="G342" s="11"/>
      <c r="H342" s="11"/>
      <c r="I342" s="6"/>
      <c r="J342" s="6"/>
    </row>
    <row r="343">
      <c r="A343" s="7" t="s">
        <v>66</v>
      </c>
      <c r="B343" s="8">
        <v>2.000050608E9</v>
      </c>
      <c r="C343" s="7" t="s">
        <v>640</v>
      </c>
      <c r="D343" s="3" t="s">
        <v>162</v>
      </c>
      <c r="E343" s="3" t="s">
        <v>59</v>
      </c>
      <c r="F343" s="27" t="s">
        <v>641</v>
      </c>
      <c r="G343" s="11"/>
      <c r="H343" s="11"/>
      <c r="I343" s="6"/>
      <c r="J343" s="6"/>
    </row>
    <row r="344">
      <c r="A344" s="7" t="s">
        <v>66</v>
      </c>
      <c r="B344" s="8">
        <v>2.000050609E9</v>
      </c>
      <c r="C344" s="7" t="s">
        <v>642</v>
      </c>
      <c r="D344" s="3" t="s">
        <v>179</v>
      </c>
      <c r="E344" s="3" t="s">
        <v>59</v>
      </c>
      <c r="F344" s="27" t="s">
        <v>643</v>
      </c>
      <c r="G344" s="11"/>
      <c r="H344" s="11"/>
      <c r="I344" s="6"/>
      <c r="J344" s="6"/>
    </row>
    <row r="345">
      <c r="A345" s="7" t="s">
        <v>66</v>
      </c>
      <c r="B345" s="8">
        <v>7.00070072E9</v>
      </c>
      <c r="C345" s="7" t="s">
        <v>644</v>
      </c>
      <c r="D345" s="3" t="s">
        <v>11</v>
      </c>
      <c r="E345" s="3" t="s">
        <v>59</v>
      </c>
      <c r="F345" s="27" t="s">
        <v>645</v>
      </c>
      <c r="G345" s="11"/>
      <c r="H345" s="11"/>
      <c r="I345" s="6"/>
      <c r="J345" s="6"/>
    </row>
    <row r="346">
      <c r="A346" s="7" t="s">
        <v>66</v>
      </c>
      <c r="B346" s="8">
        <v>7.000700721E9</v>
      </c>
      <c r="C346" s="7" t="s">
        <v>646</v>
      </c>
      <c r="D346" s="3" t="s">
        <v>11</v>
      </c>
      <c r="E346" s="3" t="s">
        <v>59</v>
      </c>
      <c r="F346" s="27" t="s">
        <v>647</v>
      </c>
      <c r="G346" s="11"/>
      <c r="H346" s="11"/>
      <c r="I346" s="6"/>
      <c r="J346" s="6"/>
    </row>
    <row r="347">
      <c r="A347" s="7" t="s">
        <v>66</v>
      </c>
      <c r="B347" s="8">
        <v>7.000700722E9</v>
      </c>
      <c r="C347" s="7" t="s">
        <v>648</v>
      </c>
      <c r="D347" s="3" t="s">
        <v>58</v>
      </c>
      <c r="E347" s="3" t="s">
        <v>30</v>
      </c>
      <c r="F347" s="10" t="s">
        <v>37</v>
      </c>
      <c r="G347" s="11"/>
      <c r="H347" s="11"/>
      <c r="I347" s="6"/>
      <c r="J347" s="6"/>
    </row>
    <row r="348">
      <c r="A348" s="7" t="s">
        <v>66</v>
      </c>
      <c r="B348" s="8">
        <v>7.000700723E9</v>
      </c>
      <c r="C348" s="7" t="s">
        <v>649</v>
      </c>
      <c r="D348" s="3" t="s">
        <v>11</v>
      </c>
      <c r="E348" s="3" t="s">
        <v>59</v>
      </c>
      <c r="F348" s="27" t="s">
        <v>650</v>
      </c>
      <c r="G348" s="11"/>
      <c r="H348" s="11"/>
      <c r="I348" s="6"/>
      <c r="J348" s="6"/>
    </row>
    <row r="349">
      <c r="A349" s="7" t="s">
        <v>66</v>
      </c>
      <c r="B349" s="8">
        <v>2.000050617E9</v>
      </c>
      <c r="C349" s="7" t="s">
        <v>651</v>
      </c>
      <c r="D349" s="3" t="s">
        <v>58</v>
      </c>
      <c r="E349" s="3" t="s">
        <v>59</v>
      </c>
      <c r="F349" s="27" t="s">
        <v>652</v>
      </c>
      <c r="G349" s="11"/>
      <c r="H349" s="11"/>
      <c r="I349" s="6"/>
      <c r="J349" s="6"/>
    </row>
    <row r="350">
      <c r="A350" s="7" t="s">
        <v>66</v>
      </c>
      <c r="B350" s="8">
        <v>7.000700727E9</v>
      </c>
      <c r="C350" s="7" t="s">
        <v>653</v>
      </c>
      <c r="D350" s="3" t="s">
        <v>11</v>
      </c>
      <c r="E350" s="3" t="s">
        <v>59</v>
      </c>
      <c r="F350" s="27" t="s">
        <v>654</v>
      </c>
      <c r="G350" s="11"/>
      <c r="H350" s="11"/>
      <c r="I350" s="6"/>
      <c r="J350" s="6"/>
    </row>
    <row r="351">
      <c r="A351" s="7" t="s">
        <v>66</v>
      </c>
      <c r="B351" s="8">
        <v>2.000050616E9</v>
      </c>
      <c r="C351" s="7" t="s">
        <v>655</v>
      </c>
      <c r="D351" s="3" t="s">
        <v>162</v>
      </c>
      <c r="E351" s="3" t="s">
        <v>59</v>
      </c>
      <c r="F351" s="27" t="s">
        <v>656</v>
      </c>
      <c r="G351" s="11"/>
      <c r="H351" s="11"/>
      <c r="I351" s="6"/>
      <c r="J351" s="6"/>
    </row>
    <row r="352">
      <c r="A352" s="7" t="s">
        <v>66</v>
      </c>
      <c r="B352" s="8">
        <v>7.000700726E9</v>
      </c>
      <c r="C352" s="7" t="s">
        <v>657</v>
      </c>
      <c r="D352" s="3" t="s">
        <v>11</v>
      </c>
      <c r="E352" s="3" t="s">
        <v>59</v>
      </c>
      <c r="F352" s="27" t="s">
        <v>658</v>
      </c>
      <c r="G352" s="11"/>
      <c r="H352" s="11"/>
      <c r="I352" s="6"/>
      <c r="J352" s="6"/>
    </row>
    <row r="353">
      <c r="A353" s="7" t="s">
        <v>8</v>
      </c>
      <c r="B353" s="8">
        <v>2.000050615E9</v>
      </c>
      <c r="C353" s="7" t="s">
        <v>659</v>
      </c>
      <c r="D353" s="3" t="s">
        <v>162</v>
      </c>
      <c r="E353" s="3" t="s">
        <v>59</v>
      </c>
      <c r="F353" s="27" t="s">
        <v>660</v>
      </c>
      <c r="G353" s="11"/>
      <c r="H353" s="11"/>
      <c r="I353" s="6"/>
      <c r="J353" s="6"/>
    </row>
    <row r="354">
      <c r="A354" s="7" t="s">
        <v>8</v>
      </c>
      <c r="B354" s="8">
        <v>2.000050614E9</v>
      </c>
      <c r="C354" s="7" t="s">
        <v>661</v>
      </c>
      <c r="D354" s="3" t="s">
        <v>162</v>
      </c>
      <c r="E354" s="3" t="s">
        <v>59</v>
      </c>
      <c r="F354" s="27" t="s">
        <v>662</v>
      </c>
      <c r="G354" s="11"/>
      <c r="H354" s="11"/>
      <c r="I354" s="6"/>
      <c r="J354" s="6"/>
    </row>
    <row r="355">
      <c r="A355" s="7" t="s">
        <v>14</v>
      </c>
      <c r="B355" s="8">
        <v>2.000050613E9</v>
      </c>
      <c r="C355" s="7" t="s">
        <v>663</v>
      </c>
      <c r="D355" s="3" t="s">
        <v>11</v>
      </c>
      <c r="E355" s="3" t="s">
        <v>59</v>
      </c>
      <c r="F355" s="27" t="s">
        <v>664</v>
      </c>
      <c r="G355" s="11"/>
      <c r="H355" s="11"/>
      <c r="I355" s="6"/>
      <c r="J355" s="6"/>
    </row>
    <row r="356">
      <c r="A356" s="7" t="s">
        <v>8</v>
      </c>
      <c r="B356" s="8">
        <v>7.000700725E9</v>
      </c>
      <c r="C356" s="7" t="s">
        <v>665</v>
      </c>
      <c r="D356" s="3" t="s">
        <v>11</v>
      </c>
      <c r="E356" s="3" t="s">
        <v>30</v>
      </c>
      <c r="F356" s="10" t="s">
        <v>37</v>
      </c>
      <c r="G356" s="11"/>
      <c r="H356" s="11"/>
      <c r="I356" s="6"/>
      <c r="J356" s="6"/>
    </row>
    <row r="357">
      <c r="A357" s="7" t="s">
        <v>8</v>
      </c>
      <c r="B357" s="8">
        <v>7.000700724E9</v>
      </c>
      <c r="C357" s="7" t="s">
        <v>666</v>
      </c>
      <c r="D357" s="3" t="s">
        <v>11</v>
      </c>
      <c r="E357" s="3" t="s">
        <v>59</v>
      </c>
      <c r="F357" s="27" t="s">
        <v>667</v>
      </c>
      <c r="G357" s="11"/>
      <c r="H357" s="11"/>
      <c r="I357" s="6"/>
      <c r="J357" s="6"/>
    </row>
    <row r="358">
      <c r="A358" s="7" t="s">
        <v>66</v>
      </c>
      <c r="B358" s="8">
        <v>2.000050612E9</v>
      </c>
      <c r="C358" s="7" t="s">
        <v>668</v>
      </c>
      <c r="D358" s="3" t="s">
        <v>11</v>
      </c>
      <c r="E358" s="3" t="s">
        <v>59</v>
      </c>
      <c r="F358" s="10" t="s">
        <v>37</v>
      </c>
      <c r="G358" s="11"/>
      <c r="H358" s="11"/>
      <c r="I358" s="6"/>
      <c r="J358" s="6"/>
    </row>
    <row r="359">
      <c r="A359" s="7" t="s">
        <v>66</v>
      </c>
      <c r="B359" s="8">
        <v>2.000050611E9</v>
      </c>
      <c r="C359" s="7" t="s">
        <v>669</v>
      </c>
      <c r="D359" s="3" t="s">
        <v>58</v>
      </c>
      <c r="E359" s="3" t="s">
        <v>59</v>
      </c>
      <c r="F359" s="27" t="s">
        <v>670</v>
      </c>
      <c r="G359" s="11"/>
      <c r="H359" s="11"/>
      <c r="I359" s="6"/>
      <c r="J359" s="6"/>
    </row>
    <row r="360">
      <c r="A360" s="31" t="s">
        <v>66</v>
      </c>
      <c r="B360" s="32">
        <v>2.00005061E9</v>
      </c>
      <c r="C360" s="31" t="s">
        <v>671</v>
      </c>
      <c r="D360" s="33" t="s">
        <v>11</v>
      </c>
      <c r="E360" s="33" t="s">
        <v>27</v>
      </c>
      <c r="F360" s="34" t="s">
        <v>672</v>
      </c>
      <c r="G360" s="11"/>
      <c r="H360" s="35"/>
      <c r="I360" s="36"/>
      <c r="J360" s="36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</row>
    <row r="361">
      <c r="A361" s="7" t="s">
        <v>66</v>
      </c>
      <c r="B361" s="8">
        <v>2.000003001E9</v>
      </c>
      <c r="C361" s="7" t="s">
        <v>673</v>
      </c>
      <c r="D361" s="3" t="s">
        <v>11</v>
      </c>
      <c r="E361" s="3" t="s">
        <v>59</v>
      </c>
      <c r="F361" s="27" t="s">
        <v>674</v>
      </c>
      <c r="G361" s="11"/>
      <c r="H361" s="38" t="s">
        <v>675</v>
      </c>
      <c r="I361" s="39"/>
      <c r="J361" s="39"/>
    </row>
    <row r="362">
      <c r="A362" s="7" t="s">
        <v>66</v>
      </c>
      <c r="B362" s="8">
        <v>2.000003024E9</v>
      </c>
      <c r="C362" s="7" t="s">
        <v>676</v>
      </c>
      <c r="D362" s="3" t="s">
        <v>11</v>
      </c>
      <c r="E362" s="3" t="s">
        <v>27</v>
      </c>
      <c r="F362" s="27" t="s">
        <v>677</v>
      </c>
      <c r="G362" s="11"/>
      <c r="H362" s="3" t="s">
        <v>678</v>
      </c>
      <c r="I362" s="39"/>
      <c r="J362" s="39"/>
    </row>
    <row r="363">
      <c r="A363" s="7" t="s">
        <v>66</v>
      </c>
      <c r="B363" s="8">
        <v>7.000000035E9</v>
      </c>
      <c r="C363" s="7" t="s">
        <v>679</v>
      </c>
      <c r="D363" s="3" t="s">
        <v>11</v>
      </c>
      <c r="E363" s="3" t="s">
        <v>27</v>
      </c>
      <c r="F363" s="27" t="s">
        <v>680</v>
      </c>
      <c r="G363" s="11"/>
      <c r="H363" s="3" t="s">
        <v>678</v>
      </c>
      <c r="I363" s="39"/>
      <c r="J363" s="39"/>
    </row>
    <row r="364">
      <c r="A364" s="7" t="s">
        <v>66</v>
      </c>
      <c r="B364" s="8">
        <v>7.000002854E9</v>
      </c>
      <c r="C364" s="7" t="s">
        <v>681</v>
      </c>
      <c r="D364" s="3" t="s">
        <v>11</v>
      </c>
      <c r="E364" s="3" t="s">
        <v>27</v>
      </c>
      <c r="F364" s="27" t="s">
        <v>682</v>
      </c>
      <c r="G364" s="11"/>
      <c r="H364" s="3" t="s">
        <v>678</v>
      </c>
      <c r="I364" s="39"/>
      <c r="J364" s="39"/>
    </row>
    <row r="365">
      <c r="A365" s="7" t="s">
        <v>66</v>
      </c>
      <c r="B365" s="8">
        <v>7.000002372E9</v>
      </c>
      <c r="C365" s="7" t="s">
        <v>683</v>
      </c>
      <c r="D365" s="3" t="s">
        <v>11</v>
      </c>
      <c r="E365" s="3" t="s">
        <v>27</v>
      </c>
      <c r="F365" s="27" t="s">
        <v>684</v>
      </c>
      <c r="G365" s="11"/>
      <c r="H365" s="11"/>
      <c r="I365" s="39"/>
      <c r="J365" s="39"/>
    </row>
    <row r="366">
      <c r="A366" s="7" t="s">
        <v>66</v>
      </c>
      <c r="B366" s="8">
        <v>7.000000006E9</v>
      </c>
      <c r="C366" s="7" t="s">
        <v>685</v>
      </c>
      <c r="D366" s="3" t="s">
        <v>11</v>
      </c>
      <c r="E366" s="3" t="s">
        <v>27</v>
      </c>
      <c r="F366" s="27" t="s">
        <v>686</v>
      </c>
      <c r="G366" s="11"/>
      <c r="H366" s="11"/>
      <c r="I366" s="39"/>
      <c r="J366" s="39"/>
    </row>
    <row r="367">
      <c r="A367" s="7" t="s">
        <v>66</v>
      </c>
      <c r="B367" s="8">
        <v>7.000000019E9</v>
      </c>
      <c r="C367" s="7" t="s">
        <v>687</v>
      </c>
      <c r="D367" s="3" t="s">
        <v>11</v>
      </c>
      <c r="E367" s="3" t="s">
        <v>27</v>
      </c>
      <c r="F367" s="27" t="s">
        <v>688</v>
      </c>
      <c r="G367" s="11"/>
      <c r="H367" s="11"/>
      <c r="I367" s="39"/>
      <c r="J367" s="39"/>
    </row>
    <row r="368">
      <c r="A368" s="7" t="s">
        <v>66</v>
      </c>
      <c r="B368" s="8">
        <v>7.000004176E9</v>
      </c>
      <c r="C368" s="9" t="s">
        <v>689</v>
      </c>
      <c r="D368" s="3" t="s">
        <v>11</v>
      </c>
      <c r="E368" s="3" t="s">
        <v>27</v>
      </c>
      <c r="F368" s="27" t="s">
        <v>690</v>
      </c>
      <c r="G368" s="11"/>
      <c r="H368" s="11"/>
      <c r="I368" s="39"/>
      <c r="J368" s="39"/>
    </row>
    <row r="369">
      <c r="A369" s="40" t="s">
        <v>8</v>
      </c>
      <c r="B369" s="8">
        <v>7.000005238E9</v>
      </c>
      <c r="C369" s="40" t="s">
        <v>691</v>
      </c>
      <c r="D369" s="3" t="s">
        <v>11</v>
      </c>
      <c r="E369" s="3" t="s">
        <v>27</v>
      </c>
      <c r="F369" s="27" t="s">
        <v>692</v>
      </c>
      <c r="G369" s="11"/>
      <c r="H369" s="11"/>
      <c r="I369" s="39"/>
      <c r="J369" s="39"/>
    </row>
    <row r="370">
      <c r="A370" s="7" t="s">
        <v>8</v>
      </c>
      <c r="B370" s="8">
        <v>7.000005169E9</v>
      </c>
      <c r="C370" s="7" t="s">
        <v>693</v>
      </c>
      <c r="D370" s="3" t="s">
        <v>11</v>
      </c>
      <c r="E370" s="3" t="s">
        <v>27</v>
      </c>
      <c r="F370" s="27" t="s">
        <v>694</v>
      </c>
      <c r="G370" s="11"/>
      <c r="H370" s="11"/>
      <c r="I370" s="39"/>
      <c r="J370" s="39"/>
    </row>
    <row r="371">
      <c r="A371" s="7" t="s">
        <v>8</v>
      </c>
      <c r="B371" s="8">
        <v>7.000005184E9</v>
      </c>
      <c r="C371" s="7" t="s">
        <v>695</v>
      </c>
      <c r="D371" s="3" t="s">
        <v>11</v>
      </c>
      <c r="E371" s="3" t="s">
        <v>27</v>
      </c>
      <c r="F371" s="27" t="s">
        <v>696</v>
      </c>
      <c r="G371" s="11"/>
      <c r="H371" s="11"/>
      <c r="I371" s="39"/>
      <c r="J371" s="39"/>
    </row>
    <row r="372">
      <c r="A372" s="7" t="s">
        <v>8</v>
      </c>
      <c r="B372" s="8">
        <v>7.000004329E9</v>
      </c>
      <c r="C372" s="7" t="s">
        <v>697</v>
      </c>
      <c r="D372" s="3" t="s">
        <v>58</v>
      </c>
      <c r="E372" s="3" t="s">
        <v>12</v>
      </c>
      <c r="F372" s="27" t="s">
        <v>698</v>
      </c>
      <c r="G372" s="11"/>
      <c r="H372" s="11"/>
      <c r="I372" s="39"/>
      <c r="J372" s="39"/>
    </row>
    <row r="373">
      <c r="A373" s="7" t="s">
        <v>66</v>
      </c>
      <c r="B373" s="8">
        <v>7.000004342E9</v>
      </c>
      <c r="C373" s="9" t="s">
        <v>699</v>
      </c>
      <c r="D373" s="3" t="s">
        <v>11</v>
      </c>
      <c r="E373" s="3" t="s">
        <v>12</v>
      </c>
      <c r="F373" s="27" t="s">
        <v>700</v>
      </c>
      <c r="G373" s="11"/>
      <c r="H373" s="11"/>
      <c r="I373" s="39"/>
      <c r="J373" s="39"/>
    </row>
    <row r="374">
      <c r="A374" s="7" t="s">
        <v>8</v>
      </c>
      <c r="B374" s="8">
        <v>2.000003056E9</v>
      </c>
      <c r="C374" s="7" t="s">
        <v>701</v>
      </c>
      <c r="D374" s="3" t="s">
        <v>11</v>
      </c>
      <c r="E374" s="3" t="s">
        <v>59</v>
      </c>
      <c r="F374" s="27" t="s">
        <v>702</v>
      </c>
      <c r="G374" s="11"/>
      <c r="H374" s="3" t="s">
        <v>703</v>
      </c>
      <c r="I374" s="39"/>
      <c r="J374" s="39"/>
    </row>
    <row r="375">
      <c r="A375" s="7" t="s">
        <v>8</v>
      </c>
      <c r="B375" s="8">
        <v>7.000000633E9</v>
      </c>
      <c r="C375" s="7" t="s">
        <v>704</v>
      </c>
      <c r="D375" s="3" t="s">
        <v>11</v>
      </c>
      <c r="E375" s="3" t="s">
        <v>12</v>
      </c>
      <c r="F375" s="27" t="s">
        <v>705</v>
      </c>
      <c r="G375" s="11"/>
      <c r="H375" s="11"/>
      <c r="I375" s="39"/>
      <c r="J375" s="39"/>
    </row>
    <row r="376">
      <c r="A376" s="7" t="s">
        <v>8</v>
      </c>
      <c r="B376" s="8">
        <v>7.000004167E9</v>
      </c>
      <c r="C376" s="7" t="s">
        <v>706</v>
      </c>
      <c r="D376" s="3" t="s">
        <v>11</v>
      </c>
      <c r="E376" s="3" t="s">
        <v>12</v>
      </c>
      <c r="F376" s="27" t="s">
        <v>707</v>
      </c>
      <c r="G376" s="11"/>
      <c r="H376" s="11"/>
      <c r="I376" s="39"/>
      <c r="J376" s="39"/>
    </row>
    <row r="377">
      <c r="A377" s="7" t="s">
        <v>8</v>
      </c>
      <c r="B377" s="8">
        <v>7.000005487E9</v>
      </c>
      <c r="C377" s="7" t="s">
        <v>708</v>
      </c>
      <c r="D377" s="3" t="s">
        <v>11</v>
      </c>
      <c r="E377" s="3" t="s">
        <v>12</v>
      </c>
      <c r="F377" s="27" t="s">
        <v>709</v>
      </c>
      <c r="G377" s="11"/>
      <c r="H377" s="11"/>
      <c r="I377" s="39"/>
      <c r="J377" s="39"/>
    </row>
    <row r="378">
      <c r="A378" s="7" t="s">
        <v>8</v>
      </c>
      <c r="B378" s="8">
        <v>7.000003021E9</v>
      </c>
      <c r="C378" s="7" t="s">
        <v>710</v>
      </c>
      <c r="D378" s="3" t="s">
        <v>11</v>
      </c>
      <c r="E378" s="3" t="s">
        <v>12</v>
      </c>
      <c r="F378" s="27" t="s">
        <v>711</v>
      </c>
      <c r="G378" s="11"/>
      <c r="H378" s="11"/>
      <c r="I378" s="39"/>
      <c r="J378" s="39"/>
    </row>
    <row r="379">
      <c r="A379" s="7" t="s">
        <v>8</v>
      </c>
      <c r="B379" s="8">
        <v>7.000005171E9</v>
      </c>
      <c r="C379" s="7" t="s">
        <v>712</v>
      </c>
      <c r="D379" s="3" t="s">
        <v>11</v>
      </c>
      <c r="E379" s="3" t="s">
        <v>12</v>
      </c>
      <c r="F379" s="27" t="s">
        <v>713</v>
      </c>
      <c r="G379" s="11"/>
      <c r="H379" s="11"/>
      <c r="I379" s="39"/>
      <c r="J379" s="39"/>
    </row>
    <row r="380">
      <c r="A380" s="7" t="s">
        <v>66</v>
      </c>
      <c r="B380" s="8">
        <v>7.000000126E9</v>
      </c>
      <c r="C380" s="7" t="s">
        <v>714</v>
      </c>
      <c r="D380" s="3" t="s">
        <v>11</v>
      </c>
      <c r="E380" s="3" t="s">
        <v>12</v>
      </c>
      <c r="F380" s="27" t="s">
        <v>715</v>
      </c>
      <c r="G380" s="11"/>
      <c r="H380" s="11"/>
      <c r="I380" s="39"/>
      <c r="J380" s="39"/>
    </row>
    <row r="381">
      <c r="A381" s="7" t="s">
        <v>66</v>
      </c>
      <c r="B381" s="8">
        <v>7.000005508E9</v>
      </c>
      <c r="C381" s="7" t="s">
        <v>716</v>
      </c>
      <c r="D381" s="3" t="s">
        <v>11</v>
      </c>
      <c r="E381" s="3" t="s">
        <v>12</v>
      </c>
      <c r="F381" s="27" t="s">
        <v>717</v>
      </c>
      <c r="G381" s="11"/>
      <c r="H381" s="11"/>
      <c r="I381" s="39"/>
      <c r="J381" s="39"/>
    </row>
    <row r="382">
      <c r="A382" s="7" t="s">
        <v>66</v>
      </c>
      <c r="B382" s="8">
        <v>7.00000538E9</v>
      </c>
      <c r="C382" s="7" t="s">
        <v>718</v>
      </c>
      <c r="D382" s="3" t="s">
        <v>11</v>
      </c>
      <c r="E382" s="3" t="s">
        <v>12</v>
      </c>
      <c r="F382" s="27" t="s">
        <v>719</v>
      </c>
      <c r="G382" s="11"/>
      <c r="H382" s="11"/>
      <c r="I382" s="39"/>
      <c r="J382" s="39"/>
    </row>
    <row r="383">
      <c r="A383" s="7" t="s">
        <v>66</v>
      </c>
      <c r="B383" s="8">
        <v>7.000005462E9</v>
      </c>
      <c r="C383" s="7" t="s">
        <v>720</v>
      </c>
      <c r="D383" s="3" t="s">
        <v>11</v>
      </c>
      <c r="E383" s="3" t="s">
        <v>12</v>
      </c>
      <c r="F383" s="27" t="s">
        <v>721</v>
      </c>
      <c r="G383" s="11"/>
      <c r="H383" s="11"/>
      <c r="I383" s="39"/>
      <c r="J383" s="39"/>
    </row>
    <row r="384">
      <c r="A384" s="7" t="s">
        <v>66</v>
      </c>
      <c r="B384" s="8">
        <v>7.00000551E9</v>
      </c>
      <c r="C384" s="7" t="s">
        <v>722</v>
      </c>
      <c r="D384" s="3" t="s">
        <v>11</v>
      </c>
      <c r="E384" s="3" t="s">
        <v>12</v>
      </c>
      <c r="F384" s="27" t="s">
        <v>723</v>
      </c>
      <c r="G384" s="11"/>
      <c r="H384" s="11"/>
      <c r="I384" s="39"/>
      <c r="J384" s="39"/>
    </row>
    <row r="385">
      <c r="A385" s="7" t="s">
        <v>66</v>
      </c>
      <c r="B385" s="8">
        <v>7.000005515E9</v>
      </c>
      <c r="C385" s="7" t="s">
        <v>724</v>
      </c>
      <c r="D385" s="3" t="s">
        <v>11</v>
      </c>
      <c r="E385" s="3" t="s">
        <v>12</v>
      </c>
      <c r="F385" s="27" t="s">
        <v>725</v>
      </c>
      <c r="G385" s="11"/>
      <c r="H385" s="11"/>
      <c r="I385" s="39"/>
      <c r="J385" s="39"/>
    </row>
    <row r="386">
      <c r="A386" s="7" t="s">
        <v>66</v>
      </c>
      <c r="B386" s="8">
        <v>2.000003084E9</v>
      </c>
      <c r="C386" s="7" t="s">
        <v>726</v>
      </c>
      <c r="D386" s="3" t="s">
        <v>11</v>
      </c>
      <c r="E386" s="3" t="s">
        <v>12</v>
      </c>
      <c r="F386" s="27" t="s">
        <v>727</v>
      </c>
      <c r="G386" s="11"/>
      <c r="H386" s="11"/>
      <c r="I386" s="39"/>
      <c r="J386" s="39"/>
    </row>
    <row r="387">
      <c r="A387" s="7" t="s">
        <v>66</v>
      </c>
      <c r="B387" s="8">
        <v>7.000005521E9</v>
      </c>
      <c r="C387" s="9" t="s">
        <v>728</v>
      </c>
      <c r="D387" s="3" t="s">
        <v>11</v>
      </c>
      <c r="E387" s="3" t="s">
        <v>12</v>
      </c>
      <c r="F387" s="27" t="s">
        <v>729</v>
      </c>
      <c r="G387" s="11"/>
      <c r="H387" s="11"/>
      <c r="I387" s="39"/>
      <c r="J387" s="39"/>
    </row>
    <row r="388">
      <c r="A388" s="7" t="s">
        <v>66</v>
      </c>
      <c r="B388" s="8">
        <v>7.000005524E9</v>
      </c>
      <c r="C388" s="7" t="s">
        <v>730</v>
      </c>
      <c r="D388" s="3" t="s">
        <v>11</v>
      </c>
      <c r="E388" s="3" t="s">
        <v>12</v>
      </c>
      <c r="F388" s="27" t="s">
        <v>731</v>
      </c>
      <c r="G388" s="11"/>
      <c r="H388" s="11"/>
      <c r="I388" s="39"/>
      <c r="J388" s="39"/>
    </row>
    <row r="389">
      <c r="A389" s="7" t="s">
        <v>66</v>
      </c>
      <c r="B389" s="8">
        <v>7.000005527E9</v>
      </c>
      <c r="C389" s="17" t="s">
        <v>732</v>
      </c>
      <c r="D389" s="3" t="s">
        <v>11</v>
      </c>
      <c r="E389" s="3" t="s">
        <v>12</v>
      </c>
      <c r="F389" s="25" t="s">
        <v>733</v>
      </c>
      <c r="G389" s="11"/>
      <c r="H389" s="11"/>
      <c r="I389" s="39"/>
      <c r="J389" s="39"/>
    </row>
    <row r="390">
      <c r="A390" s="7" t="s">
        <v>66</v>
      </c>
      <c r="B390" s="8">
        <v>7.000005531E9</v>
      </c>
      <c r="C390" s="7" t="s">
        <v>734</v>
      </c>
      <c r="D390" s="3" t="s">
        <v>11</v>
      </c>
      <c r="E390" s="3" t="s">
        <v>12</v>
      </c>
      <c r="F390" s="27" t="s">
        <v>735</v>
      </c>
      <c r="G390" s="11"/>
      <c r="H390" s="11"/>
      <c r="I390" s="39"/>
      <c r="J390" s="39"/>
    </row>
    <row r="391">
      <c r="A391" s="7" t="s">
        <v>66</v>
      </c>
      <c r="B391" s="8">
        <v>7.000005533E9</v>
      </c>
      <c r="C391" s="7" t="s">
        <v>736</v>
      </c>
      <c r="D391" s="3" t="s">
        <v>11</v>
      </c>
      <c r="E391" s="3" t="s">
        <v>12</v>
      </c>
      <c r="F391" s="27" t="s">
        <v>737</v>
      </c>
      <c r="G391" s="11"/>
      <c r="H391" s="11"/>
      <c r="I391" s="39"/>
      <c r="J391" s="39"/>
    </row>
    <row r="392">
      <c r="A392" s="7" t="s">
        <v>8</v>
      </c>
      <c r="B392" s="8">
        <v>7.000000005E9</v>
      </c>
      <c r="C392" s="7" t="s">
        <v>738</v>
      </c>
      <c r="D392" s="3" t="s">
        <v>11</v>
      </c>
      <c r="E392" s="3" t="s">
        <v>12</v>
      </c>
      <c r="F392" s="27" t="s">
        <v>739</v>
      </c>
      <c r="G392" s="11"/>
      <c r="H392" s="11"/>
      <c r="I392" s="39"/>
      <c r="J392" s="39"/>
    </row>
    <row r="393">
      <c r="A393" s="7" t="s">
        <v>8</v>
      </c>
      <c r="B393" s="8">
        <v>7.000005473E9</v>
      </c>
      <c r="C393" s="7" t="s">
        <v>740</v>
      </c>
      <c r="D393" s="3" t="s">
        <v>11</v>
      </c>
      <c r="E393" s="3" t="s">
        <v>12</v>
      </c>
      <c r="F393" s="27" t="s">
        <v>696</v>
      </c>
      <c r="G393" s="11"/>
      <c r="H393" s="3" t="s">
        <v>298</v>
      </c>
      <c r="I393" s="39"/>
      <c r="J393" s="39"/>
    </row>
    <row r="394">
      <c r="A394" s="7" t="s">
        <v>8</v>
      </c>
      <c r="B394" s="8">
        <v>7.000005538E9</v>
      </c>
      <c r="C394" s="7" t="s">
        <v>741</v>
      </c>
      <c r="D394" s="3" t="s">
        <v>11</v>
      </c>
      <c r="E394" s="3" t="s">
        <v>30</v>
      </c>
      <c r="F394" s="10" t="s">
        <v>37</v>
      </c>
      <c r="G394" s="11"/>
      <c r="H394" s="11"/>
      <c r="I394" s="39"/>
      <c r="J394" s="39"/>
    </row>
    <row r="395">
      <c r="A395" s="7" t="s">
        <v>8</v>
      </c>
      <c r="B395" s="8">
        <v>7.000005539E9</v>
      </c>
      <c r="C395" s="7" t="s">
        <v>742</v>
      </c>
      <c r="D395" s="3" t="s">
        <v>11</v>
      </c>
      <c r="E395" s="3" t="s">
        <v>12</v>
      </c>
      <c r="F395" s="25" t="s">
        <v>743</v>
      </c>
      <c r="G395" s="11"/>
      <c r="H395" s="41" t="s">
        <v>744</v>
      </c>
      <c r="I395" s="26" t="s">
        <v>427</v>
      </c>
      <c r="J395" s="42"/>
    </row>
    <row r="396">
      <c r="A396" s="7" t="s">
        <v>66</v>
      </c>
      <c r="B396" s="8">
        <v>7.000005399E9</v>
      </c>
      <c r="C396" s="7" t="s">
        <v>745</v>
      </c>
      <c r="D396" s="3" t="s">
        <v>11</v>
      </c>
      <c r="E396" s="3" t="s">
        <v>12</v>
      </c>
      <c r="F396" s="27" t="s">
        <v>746</v>
      </c>
      <c r="G396" s="11"/>
      <c r="H396" s="11"/>
      <c r="I396" s="39"/>
      <c r="J396" s="39"/>
    </row>
    <row r="397">
      <c r="A397" s="7" t="s">
        <v>66</v>
      </c>
      <c r="B397" s="15">
        <v>7.000004319E9</v>
      </c>
      <c r="C397" s="7" t="s">
        <v>747</v>
      </c>
      <c r="D397" s="3" t="s">
        <v>11</v>
      </c>
      <c r="E397" s="3" t="s">
        <v>12</v>
      </c>
      <c r="F397" s="25" t="s">
        <v>748</v>
      </c>
      <c r="G397" s="11"/>
      <c r="H397" s="11"/>
      <c r="I397" s="39"/>
      <c r="J397" s="39"/>
    </row>
    <row r="398">
      <c r="A398" s="7" t="s">
        <v>66</v>
      </c>
      <c r="B398" s="15">
        <v>7.000005544E9</v>
      </c>
      <c r="C398" s="7" t="s">
        <v>749</v>
      </c>
      <c r="D398" s="3" t="s">
        <v>11</v>
      </c>
      <c r="E398" s="3" t="s">
        <v>12</v>
      </c>
      <c r="F398" s="25" t="s">
        <v>750</v>
      </c>
      <c r="G398" s="11"/>
      <c r="H398" s="11"/>
      <c r="I398" s="39"/>
      <c r="J398" s="39"/>
    </row>
    <row r="399">
      <c r="A399" s="7" t="s">
        <v>66</v>
      </c>
      <c r="B399" s="15">
        <v>7.000000702E9</v>
      </c>
      <c r="C399" s="7" t="s">
        <v>751</v>
      </c>
      <c r="D399" s="3" t="s">
        <v>11</v>
      </c>
      <c r="E399" s="3" t="s">
        <v>12</v>
      </c>
      <c r="F399" s="25" t="s">
        <v>752</v>
      </c>
      <c r="G399" s="11"/>
      <c r="H399" s="43" t="s">
        <v>753</v>
      </c>
      <c r="I399" s="44"/>
      <c r="J399" s="44"/>
    </row>
    <row r="400">
      <c r="A400" s="7" t="s">
        <v>66</v>
      </c>
      <c r="B400" s="15">
        <v>7.000000156E9</v>
      </c>
      <c r="C400" s="7" t="s">
        <v>754</v>
      </c>
      <c r="D400" s="3" t="s">
        <v>11</v>
      </c>
      <c r="E400" s="3" t="s">
        <v>12</v>
      </c>
      <c r="F400" s="27" t="s">
        <v>755</v>
      </c>
      <c r="G400" s="11"/>
      <c r="H400" s="11"/>
      <c r="I400" s="39"/>
      <c r="J400" s="39"/>
    </row>
    <row r="401">
      <c r="A401" s="7" t="s">
        <v>66</v>
      </c>
      <c r="B401" s="15">
        <v>7.000005551E9</v>
      </c>
      <c r="C401" s="7" t="s">
        <v>756</v>
      </c>
      <c r="D401" s="3" t="s">
        <v>11</v>
      </c>
      <c r="E401" s="3" t="s">
        <v>12</v>
      </c>
      <c r="F401" s="27" t="s">
        <v>757</v>
      </c>
      <c r="G401" s="11"/>
      <c r="H401" s="3" t="s">
        <v>758</v>
      </c>
      <c r="I401" s="39"/>
      <c r="J401" s="39"/>
    </row>
    <row r="402">
      <c r="A402" s="7" t="s">
        <v>66</v>
      </c>
      <c r="B402" s="8">
        <v>2.000003085E9</v>
      </c>
      <c r="C402" s="7" t="s">
        <v>759</v>
      </c>
      <c r="D402" s="3" t="s">
        <v>58</v>
      </c>
      <c r="E402" s="3" t="s">
        <v>12</v>
      </c>
      <c r="F402" s="3" t="s">
        <v>760</v>
      </c>
      <c r="G402" s="11"/>
      <c r="H402" s="11"/>
      <c r="I402" s="39"/>
      <c r="J402" s="39"/>
    </row>
    <row r="403">
      <c r="A403" s="7" t="s">
        <v>66</v>
      </c>
      <c r="B403" s="15">
        <v>7.000005553E9</v>
      </c>
      <c r="C403" s="7" t="s">
        <v>761</v>
      </c>
      <c r="D403" s="3" t="s">
        <v>11</v>
      </c>
      <c r="E403" s="3" t="s">
        <v>12</v>
      </c>
      <c r="F403" s="27" t="s">
        <v>762</v>
      </c>
      <c r="G403" s="11"/>
      <c r="H403" s="3" t="s">
        <v>763</v>
      </c>
      <c r="I403" s="39"/>
      <c r="J403" s="39"/>
    </row>
    <row r="404">
      <c r="A404" s="7" t="s">
        <v>66</v>
      </c>
      <c r="B404" s="15">
        <v>7.000005504E9</v>
      </c>
      <c r="C404" s="7" t="s">
        <v>764</v>
      </c>
      <c r="D404" s="3" t="s">
        <v>11</v>
      </c>
      <c r="E404" s="3" t="s">
        <v>12</v>
      </c>
      <c r="F404" s="27" t="s">
        <v>765</v>
      </c>
      <c r="G404" s="11"/>
      <c r="H404" s="11"/>
      <c r="I404" s="39"/>
      <c r="J404" s="39"/>
    </row>
    <row r="405">
      <c r="A405" s="7" t="s">
        <v>8</v>
      </c>
      <c r="B405" s="15">
        <v>7.000000129E9</v>
      </c>
      <c r="C405" s="7" t="s">
        <v>766</v>
      </c>
      <c r="D405" s="3" t="s">
        <v>11</v>
      </c>
      <c r="E405" s="3" t="s">
        <v>12</v>
      </c>
      <c r="F405" s="27" t="s">
        <v>767</v>
      </c>
      <c r="G405" s="11"/>
      <c r="H405" s="11"/>
      <c r="I405" s="39"/>
      <c r="J405" s="39"/>
    </row>
    <row r="406">
      <c r="A406" s="7" t="s">
        <v>8</v>
      </c>
      <c r="B406" s="15">
        <v>7.000005556E9</v>
      </c>
      <c r="C406" s="7" t="s">
        <v>768</v>
      </c>
      <c r="D406" s="3" t="s">
        <v>11</v>
      </c>
      <c r="E406" s="3" t="s">
        <v>12</v>
      </c>
      <c r="F406" s="25" t="s">
        <v>769</v>
      </c>
      <c r="G406" s="11"/>
      <c r="H406" s="11"/>
      <c r="I406" s="39"/>
      <c r="J406" s="39"/>
    </row>
    <row r="407">
      <c r="A407" s="7" t="s">
        <v>8</v>
      </c>
      <c r="B407" s="15">
        <v>7.000004553E9</v>
      </c>
      <c r="C407" s="7" t="s">
        <v>770</v>
      </c>
      <c r="D407" s="3" t="s">
        <v>11</v>
      </c>
      <c r="E407" s="3" t="s">
        <v>12</v>
      </c>
      <c r="F407" s="27" t="s">
        <v>771</v>
      </c>
      <c r="G407" s="11"/>
      <c r="H407" s="11"/>
      <c r="I407" s="39"/>
      <c r="J407" s="39"/>
    </row>
    <row r="408">
      <c r="A408" s="7" t="s">
        <v>8</v>
      </c>
      <c r="B408" s="15">
        <v>7.000005299E9</v>
      </c>
      <c r="C408" s="7" t="s">
        <v>772</v>
      </c>
      <c r="D408" s="3" t="s">
        <v>11</v>
      </c>
      <c r="E408" s="3" t="s">
        <v>12</v>
      </c>
      <c r="F408" s="27" t="s">
        <v>773</v>
      </c>
      <c r="G408" s="11"/>
      <c r="H408" s="11"/>
      <c r="I408" s="39"/>
      <c r="J408" s="39"/>
    </row>
    <row r="409">
      <c r="A409" s="7" t="s">
        <v>14</v>
      </c>
      <c r="B409" s="15">
        <v>7.000000102E9</v>
      </c>
      <c r="C409" s="7" t="s">
        <v>774</v>
      </c>
      <c r="D409" s="3" t="s">
        <v>11</v>
      </c>
      <c r="E409" s="3" t="s">
        <v>12</v>
      </c>
      <c r="F409" s="27" t="s">
        <v>775</v>
      </c>
      <c r="G409" s="11"/>
      <c r="H409" s="11"/>
      <c r="I409" s="39"/>
      <c r="J409" s="39"/>
    </row>
    <row r="410">
      <c r="A410" s="7" t="s">
        <v>14</v>
      </c>
      <c r="B410" s="15">
        <v>7.000005561E9</v>
      </c>
      <c r="C410" s="7" t="s">
        <v>776</v>
      </c>
      <c r="D410" s="3" t="s">
        <v>11</v>
      </c>
      <c r="E410" s="3" t="s">
        <v>12</v>
      </c>
      <c r="F410" s="27" t="s">
        <v>777</v>
      </c>
      <c r="G410" s="11"/>
      <c r="H410" s="11"/>
      <c r="I410" s="39"/>
      <c r="J410" s="39"/>
    </row>
    <row r="411">
      <c r="A411" s="7" t="s">
        <v>8</v>
      </c>
      <c r="B411" s="15">
        <v>7.000005563E9</v>
      </c>
      <c r="C411" s="7" t="s">
        <v>778</v>
      </c>
      <c r="D411" s="3" t="s">
        <v>11</v>
      </c>
      <c r="E411" s="3" t="s">
        <v>12</v>
      </c>
      <c r="F411" s="27" t="s">
        <v>779</v>
      </c>
      <c r="G411" s="11"/>
      <c r="H411" s="11"/>
      <c r="I411" s="39"/>
      <c r="J411" s="39"/>
    </row>
    <row r="412">
      <c r="A412" s="7" t="s">
        <v>66</v>
      </c>
      <c r="B412" s="15">
        <v>7.000004636E9</v>
      </c>
      <c r="C412" s="17" t="s">
        <v>780</v>
      </c>
      <c r="D412" s="3" t="s">
        <v>11</v>
      </c>
      <c r="E412" s="3" t="s">
        <v>12</v>
      </c>
      <c r="F412" s="27" t="s">
        <v>781</v>
      </c>
      <c r="G412" s="11"/>
      <c r="H412" s="11"/>
      <c r="I412" s="39"/>
      <c r="J412" s="39"/>
    </row>
    <row r="413">
      <c r="A413" s="7" t="s">
        <v>66</v>
      </c>
      <c r="B413" s="15" t="s">
        <v>782</v>
      </c>
      <c r="C413" s="7" t="s">
        <v>783</v>
      </c>
      <c r="D413" s="3" t="s">
        <v>58</v>
      </c>
      <c r="E413" s="3" t="s">
        <v>12</v>
      </c>
      <c r="F413" s="27" t="s">
        <v>784</v>
      </c>
      <c r="G413" s="11"/>
      <c r="H413" s="11"/>
      <c r="I413" s="39"/>
      <c r="J413" s="39"/>
    </row>
    <row r="414">
      <c r="A414" s="7" t="s">
        <v>66</v>
      </c>
      <c r="B414" s="15">
        <v>7.000005559E9</v>
      </c>
      <c r="C414" s="17" t="s">
        <v>785</v>
      </c>
      <c r="D414" s="3" t="s">
        <v>11</v>
      </c>
      <c r="E414" s="3" t="s">
        <v>12</v>
      </c>
      <c r="F414" s="27" t="s">
        <v>786</v>
      </c>
      <c r="G414" s="11"/>
      <c r="H414" s="11"/>
      <c r="I414" s="39"/>
      <c r="J414" s="39"/>
    </row>
    <row r="415">
      <c r="A415" s="7" t="s">
        <v>66</v>
      </c>
      <c r="B415" s="15">
        <v>7.000005564E9</v>
      </c>
      <c r="C415" s="7" t="s">
        <v>787</v>
      </c>
      <c r="D415" s="3" t="s">
        <v>11</v>
      </c>
      <c r="E415" s="3" t="s">
        <v>12</v>
      </c>
      <c r="F415" s="27" t="s">
        <v>788</v>
      </c>
      <c r="G415" s="11"/>
      <c r="H415" s="11"/>
      <c r="I415" s="39"/>
      <c r="J415" s="39"/>
    </row>
    <row r="416">
      <c r="A416" s="7" t="s">
        <v>66</v>
      </c>
      <c r="B416" s="15">
        <v>7.000002283E9</v>
      </c>
      <c r="C416" s="7" t="s">
        <v>789</v>
      </c>
      <c r="D416" s="3" t="s">
        <v>11</v>
      </c>
      <c r="E416" s="3" t="s">
        <v>12</v>
      </c>
      <c r="F416" s="27" t="s">
        <v>790</v>
      </c>
      <c r="G416" s="11"/>
      <c r="H416" s="45" t="s">
        <v>791</v>
      </c>
      <c r="I416" s="39"/>
      <c r="J416" s="39"/>
    </row>
    <row r="417">
      <c r="A417" s="7" t="s">
        <v>66</v>
      </c>
      <c r="B417" s="15">
        <v>7.000000024E9</v>
      </c>
      <c r="C417" s="7" t="s">
        <v>792</v>
      </c>
      <c r="D417" s="3" t="s">
        <v>11</v>
      </c>
      <c r="E417" s="3" t="s">
        <v>12</v>
      </c>
      <c r="F417" s="27" t="s">
        <v>793</v>
      </c>
      <c r="G417" s="11"/>
      <c r="H417" s="46"/>
      <c r="I417" s="39"/>
      <c r="J417" s="39"/>
    </row>
    <row r="418">
      <c r="A418" s="7" t="s">
        <v>66</v>
      </c>
      <c r="B418" s="15">
        <v>7.000005567E9</v>
      </c>
      <c r="C418" s="7" t="s">
        <v>794</v>
      </c>
      <c r="D418" s="3" t="s">
        <v>11</v>
      </c>
      <c r="E418" s="3" t="s">
        <v>12</v>
      </c>
      <c r="F418" s="27" t="s">
        <v>795</v>
      </c>
      <c r="G418" s="11"/>
      <c r="H418" s="46"/>
      <c r="I418" s="39"/>
      <c r="J418" s="39"/>
    </row>
    <row r="419">
      <c r="A419" s="7" t="s">
        <v>66</v>
      </c>
      <c r="B419" s="15">
        <v>7.000005568E9</v>
      </c>
      <c r="C419" s="7" t="s">
        <v>796</v>
      </c>
      <c r="D419" s="3" t="s">
        <v>11</v>
      </c>
      <c r="E419" s="3" t="s">
        <v>12</v>
      </c>
      <c r="F419" s="3" t="s">
        <v>797</v>
      </c>
      <c r="G419" s="11"/>
      <c r="H419" s="45" t="s">
        <v>791</v>
      </c>
      <c r="I419" s="39"/>
      <c r="J419" s="39"/>
    </row>
    <row r="420">
      <c r="A420" s="7" t="s">
        <v>66</v>
      </c>
      <c r="B420" s="15">
        <v>7.00000557E9</v>
      </c>
      <c r="C420" s="7" t="s">
        <v>798</v>
      </c>
      <c r="D420" s="3" t="s">
        <v>11</v>
      </c>
      <c r="E420" s="3" t="s">
        <v>12</v>
      </c>
      <c r="F420" s="27" t="s">
        <v>799</v>
      </c>
      <c r="G420" s="11"/>
      <c r="H420" s="11"/>
      <c r="I420" s="39"/>
      <c r="J420" s="39"/>
    </row>
    <row r="421">
      <c r="A421" s="7" t="s">
        <v>66</v>
      </c>
      <c r="B421" s="15">
        <v>7.000005571E9</v>
      </c>
      <c r="C421" s="7" t="s">
        <v>800</v>
      </c>
      <c r="D421" s="3" t="s">
        <v>58</v>
      </c>
      <c r="E421" s="3" t="s">
        <v>30</v>
      </c>
      <c r="F421" s="10" t="s">
        <v>37</v>
      </c>
      <c r="G421" s="11"/>
      <c r="H421" s="11"/>
      <c r="I421" s="39"/>
      <c r="J421" s="39"/>
    </row>
    <row r="422">
      <c r="A422" s="7" t="s">
        <v>66</v>
      </c>
      <c r="B422" s="15">
        <v>7.000001215E9</v>
      </c>
      <c r="C422" s="7" t="s">
        <v>801</v>
      </c>
      <c r="D422" s="3" t="s">
        <v>11</v>
      </c>
      <c r="E422" s="3" t="s">
        <v>12</v>
      </c>
      <c r="F422" s="27" t="s">
        <v>802</v>
      </c>
      <c r="G422" s="11"/>
      <c r="H422" s="11"/>
      <c r="I422" s="39"/>
      <c r="J422" s="39"/>
    </row>
    <row r="423">
      <c r="A423" s="7" t="s">
        <v>66</v>
      </c>
      <c r="B423" s="15">
        <v>2.00000309E9</v>
      </c>
      <c r="C423" s="7" t="s">
        <v>803</v>
      </c>
      <c r="D423" s="3" t="s">
        <v>11</v>
      </c>
      <c r="E423" s="3" t="s">
        <v>12</v>
      </c>
      <c r="F423" s="25" t="s">
        <v>804</v>
      </c>
      <c r="G423" s="11"/>
      <c r="H423" s="11"/>
      <c r="I423" s="39"/>
      <c r="J423" s="39"/>
    </row>
    <row r="424">
      <c r="A424" s="7" t="s">
        <v>8</v>
      </c>
      <c r="B424" s="15">
        <v>7.000001174E9</v>
      </c>
      <c r="C424" s="7" t="s">
        <v>805</v>
      </c>
      <c r="D424" s="3" t="s">
        <v>11</v>
      </c>
      <c r="E424" s="3" t="s">
        <v>12</v>
      </c>
      <c r="F424" s="27" t="s">
        <v>806</v>
      </c>
      <c r="G424" s="11"/>
      <c r="H424" s="11"/>
      <c r="I424" s="39"/>
      <c r="J424" s="39"/>
    </row>
    <row r="425">
      <c r="A425" s="7" t="s">
        <v>8</v>
      </c>
      <c r="B425" s="15">
        <v>7.000005574E9</v>
      </c>
      <c r="C425" s="7" t="s">
        <v>807</v>
      </c>
      <c r="D425" s="3" t="s">
        <v>58</v>
      </c>
      <c r="E425" s="3" t="s">
        <v>12</v>
      </c>
      <c r="F425" s="25" t="s">
        <v>808</v>
      </c>
      <c r="G425" s="11"/>
      <c r="H425" s="11"/>
      <c r="I425" s="26" t="s">
        <v>427</v>
      </c>
      <c r="J425" s="39"/>
    </row>
    <row r="426">
      <c r="A426" s="7" t="s">
        <v>66</v>
      </c>
      <c r="B426" s="15">
        <v>7.000005575E9</v>
      </c>
      <c r="C426" s="7" t="s">
        <v>809</v>
      </c>
      <c r="D426" s="3" t="s">
        <v>11</v>
      </c>
      <c r="E426" s="3" t="s">
        <v>12</v>
      </c>
      <c r="F426" s="27" t="s">
        <v>810</v>
      </c>
      <c r="G426" s="11"/>
      <c r="H426" s="11"/>
      <c r="I426" s="39"/>
      <c r="J426" s="39"/>
    </row>
    <row r="427">
      <c r="A427" s="7" t="s">
        <v>66</v>
      </c>
      <c r="B427" s="15">
        <v>7.000005576E9</v>
      </c>
      <c r="C427" s="7" t="s">
        <v>811</v>
      </c>
      <c r="D427" s="3" t="s">
        <v>11</v>
      </c>
      <c r="E427" s="3" t="s">
        <v>12</v>
      </c>
      <c r="F427" s="25" t="s">
        <v>812</v>
      </c>
      <c r="G427" s="11"/>
      <c r="H427" s="11"/>
      <c r="I427" s="39"/>
      <c r="J427" s="39"/>
    </row>
    <row r="428">
      <c r="A428" s="7" t="s">
        <v>66</v>
      </c>
      <c r="B428" s="8">
        <v>7.000005445E9</v>
      </c>
      <c r="C428" s="7" t="s">
        <v>813</v>
      </c>
      <c r="D428" s="3" t="s">
        <v>11</v>
      </c>
      <c r="E428" s="3" t="s">
        <v>12</v>
      </c>
      <c r="F428" s="27" t="s">
        <v>814</v>
      </c>
      <c r="G428" s="11"/>
      <c r="H428" s="11"/>
      <c r="I428" s="39"/>
      <c r="J428" s="39"/>
    </row>
    <row r="429">
      <c r="A429" s="7" t="s">
        <v>66</v>
      </c>
      <c r="B429" s="8">
        <v>7.000005578E9</v>
      </c>
      <c r="C429" s="7" t="s">
        <v>815</v>
      </c>
      <c r="D429" s="3" t="s">
        <v>11</v>
      </c>
      <c r="E429" s="3" t="s">
        <v>12</v>
      </c>
      <c r="F429" s="27" t="s">
        <v>816</v>
      </c>
      <c r="G429" s="11"/>
      <c r="H429" s="11"/>
      <c r="I429" s="39"/>
      <c r="J429" s="39"/>
    </row>
    <row r="430">
      <c r="A430" s="7" t="s">
        <v>66</v>
      </c>
      <c r="B430" s="8">
        <v>7.000700501E9</v>
      </c>
      <c r="C430" s="7" t="s">
        <v>817</v>
      </c>
      <c r="D430" s="3" t="s">
        <v>11</v>
      </c>
      <c r="E430" s="3" t="s">
        <v>12</v>
      </c>
      <c r="F430" s="25" t="s">
        <v>818</v>
      </c>
      <c r="G430" s="11"/>
      <c r="H430" s="45" t="s">
        <v>819</v>
      </c>
      <c r="I430" s="39"/>
      <c r="J430" s="39"/>
    </row>
    <row r="431">
      <c r="A431" s="7" t="s">
        <v>8</v>
      </c>
      <c r="B431" s="8">
        <v>7.000700504E9</v>
      </c>
      <c r="C431" s="7" t="s">
        <v>820</v>
      </c>
      <c r="D431" s="3" t="s">
        <v>11</v>
      </c>
      <c r="E431" s="3" t="s">
        <v>12</v>
      </c>
      <c r="F431" s="27" t="s">
        <v>821</v>
      </c>
      <c r="G431" s="11"/>
      <c r="H431" s="45" t="s">
        <v>822</v>
      </c>
      <c r="I431" s="39"/>
      <c r="J431" s="39"/>
    </row>
    <row r="432">
      <c r="A432" s="7" t="s">
        <v>8</v>
      </c>
      <c r="B432" s="8">
        <v>7.000700509E9</v>
      </c>
      <c r="C432" s="7" t="s">
        <v>823</v>
      </c>
      <c r="D432" s="3" t="s">
        <v>11</v>
      </c>
      <c r="E432" s="3" t="s">
        <v>30</v>
      </c>
      <c r="F432" s="10" t="s">
        <v>37</v>
      </c>
      <c r="G432" s="11"/>
      <c r="H432" s="11"/>
      <c r="I432" s="39"/>
      <c r="J432" s="39"/>
    </row>
    <row r="433">
      <c r="A433" s="7" t="s">
        <v>14</v>
      </c>
      <c r="B433" s="8">
        <v>7.000000115E9</v>
      </c>
      <c r="C433" s="7" t="s">
        <v>824</v>
      </c>
      <c r="D433" s="3" t="s">
        <v>11</v>
      </c>
      <c r="E433" s="3" t="s">
        <v>30</v>
      </c>
      <c r="F433" s="10" t="s">
        <v>37</v>
      </c>
      <c r="G433" s="11"/>
      <c r="H433" s="11"/>
      <c r="I433" s="39"/>
      <c r="J433" s="39"/>
    </row>
    <row r="434">
      <c r="A434" s="7" t="s">
        <v>8</v>
      </c>
      <c r="B434" s="8">
        <v>7.000002999E9</v>
      </c>
      <c r="C434" s="7" t="s">
        <v>825</v>
      </c>
      <c r="D434" s="3" t="s">
        <v>11</v>
      </c>
      <c r="E434" s="3" t="s">
        <v>30</v>
      </c>
      <c r="F434" s="3" t="s">
        <v>826</v>
      </c>
      <c r="G434" s="11"/>
      <c r="H434" s="11"/>
      <c r="I434" s="39"/>
      <c r="J434" s="39"/>
    </row>
    <row r="435">
      <c r="A435" s="7" t="s">
        <v>8</v>
      </c>
      <c r="B435" s="8">
        <v>7.000700512E9</v>
      </c>
      <c r="C435" s="7" t="s">
        <v>827</v>
      </c>
      <c r="D435" s="3" t="s">
        <v>11</v>
      </c>
      <c r="E435" s="3" t="s">
        <v>12</v>
      </c>
      <c r="F435" s="27" t="s">
        <v>828</v>
      </c>
      <c r="G435" s="11"/>
      <c r="H435" s="11"/>
      <c r="I435" s="39"/>
      <c r="J435" s="39"/>
    </row>
    <row r="436">
      <c r="A436" s="7" t="s">
        <v>66</v>
      </c>
      <c r="B436" s="8">
        <v>7.000004878E9</v>
      </c>
      <c r="C436" s="7" t="s">
        <v>829</v>
      </c>
      <c r="D436" s="3" t="s">
        <v>11</v>
      </c>
      <c r="E436" s="3" t="s">
        <v>12</v>
      </c>
      <c r="F436" s="27" t="s">
        <v>830</v>
      </c>
      <c r="G436" s="11"/>
      <c r="H436" s="11"/>
      <c r="I436" s="39"/>
      <c r="J436" s="39"/>
    </row>
    <row r="437">
      <c r="A437" s="7" t="s">
        <v>66</v>
      </c>
      <c r="B437" s="8">
        <v>7.000700517E9</v>
      </c>
      <c r="C437" s="7" t="s">
        <v>831</v>
      </c>
      <c r="D437" s="3" t="s">
        <v>11</v>
      </c>
      <c r="E437" s="3" t="s">
        <v>12</v>
      </c>
      <c r="F437" s="27" t="s">
        <v>832</v>
      </c>
      <c r="G437" s="11"/>
      <c r="H437" s="11"/>
      <c r="I437" s="39"/>
      <c r="J437" s="39"/>
    </row>
    <row r="438">
      <c r="A438" s="7" t="s">
        <v>66</v>
      </c>
      <c r="B438" s="8">
        <v>7.000700518E9</v>
      </c>
      <c r="C438" s="7" t="s">
        <v>833</v>
      </c>
      <c r="D438" s="3" t="s">
        <v>11</v>
      </c>
      <c r="E438" s="3" t="s">
        <v>12</v>
      </c>
      <c r="F438" s="27" t="s">
        <v>834</v>
      </c>
      <c r="G438" s="11"/>
      <c r="H438" s="11"/>
      <c r="I438" s="39"/>
      <c r="J438" s="39"/>
    </row>
    <row r="439">
      <c r="A439" s="7" t="s">
        <v>66</v>
      </c>
      <c r="B439" s="8">
        <v>7.000001162E9</v>
      </c>
      <c r="C439" s="7" t="s">
        <v>835</v>
      </c>
      <c r="D439" s="3" t="s">
        <v>11</v>
      </c>
      <c r="E439" s="3" t="s">
        <v>12</v>
      </c>
      <c r="F439" s="27" t="s">
        <v>836</v>
      </c>
      <c r="G439" s="11"/>
      <c r="H439" s="11"/>
      <c r="I439" s="39"/>
      <c r="J439" s="39"/>
    </row>
    <row r="440">
      <c r="A440" s="7" t="s">
        <v>66</v>
      </c>
      <c r="B440" s="15">
        <v>2.000050504E9</v>
      </c>
      <c r="C440" s="7" t="s">
        <v>837</v>
      </c>
      <c r="D440" s="3" t="s">
        <v>11</v>
      </c>
      <c r="E440" s="3" t="s">
        <v>12</v>
      </c>
      <c r="F440" s="27" t="s">
        <v>838</v>
      </c>
      <c r="G440" s="11"/>
      <c r="H440" s="11"/>
      <c r="I440" s="39"/>
      <c r="J440" s="39"/>
    </row>
    <row r="441">
      <c r="A441" s="7" t="s">
        <v>66</v>
      </c>
      <c r="B441" s="8">
        <v>7.000700521E9</v>
      </c>
      <c r="C441" s="7" t="s">
        <v>839</v>
      </c>
      <c r="D441" s="3" t="s">
        <v>11</v>
      </c>
      <c r="E441" s="3" t="s">
        <v>12</v>
      </c>
      <c r="F441" s="27" t="s">
        <v>840</v>
      </c>
      <c r="G441" s="11"/>
      <c r="H441" s="11"/>
      <c r="I441" s="39"/>
      <c r="J441" s="39"/>
    </row>
    <row r="442">
      <c r="A442" s="7" t="s">
        <v>66</v>
      </c>
      <c r="B442" s="8">
        <v>7.000700526E9</v>
      </c>
      <c r="C442" s="7" t="s">
        <v>841</v>
      </c>
      <c r="D442" s="3" t="s">
        <v>11</v>
      </c>
      <c r="E442" s="3" t="s">
        <v>12</v>
      </c>
      <c r="F442" s="27" t="s">
        <v>842</v>
      </c>
      <c r="G442" s="11"/>
      <c r="H442" s="11"/>
      <c r="I442" s="39"/>
      <c r="J442" s="39"/>
    </row>
    <row r="443">
      <c r="A443" s="7" t="s">
        <v>14</v>
      </c>
      <c r="B443" s="8">
        <v>7.000000113E9</v>
      </c>
      <c r="C443" s="7" t="s">
        <v>843</v>
      </c>
      <c r="D443" s="3" t="s">
        <v>11</v>
      </c>
      <c r="E443" s="3" t="s">
        <v>30</v>
      </c>
      <c r="F443" s="10" t="s">
        <v>37</v>
      </c>
      <c r="G443" s="11"/>
      <c r="H443" s="11"/>
      <c r="I443" s="39"/>
      <c r="J443" s="39"/>
    </row>
    <row r="444">
      <c r="A444" s="7" t="s">
        <v>14</v>
      </c>
      <c r="B444" s="8">
        <v>7.000002957E9</v>
      </c>
      <c r="C444" s="7" t="s">
        <v>844</v>
      </c>
      <c r="D444" s="3" t="s">
        <v>11</v>
      </c>
      <c r="E444" s="3" t="s">
        <v>30</v>
      </c>
      <c r="F444" s="10" t="s">
        <v>37</v>
      </c>
      <c r="G444" s="11"/>
      <c r="H444" s="11"/>
      <c r="I444" s="39"/>
      <c r="J444" s="39"/>
    </row>
    <row r="445">
      <c r="A445" s="7" t="s">
        <v>66</v>
      </c>
      <c r="B445" s="8">
        <v>7.000700527E9</v>
      </c>
      <c r="C445" s="7" t="s">
        <v>845</v>
      </c>
      <c r="D445" s="3" t="s">
        <v>11</v>
      </c>
      <c r="E445" s="3" t="s">
        <v>12</v>
      </c>
      <c r="F445" s="27" t="s">
        <v>846</v>
      </c>
      <c r="G445" s="11"/>
      <c r="H445" s="45" t="s">
        <v>847</v>
      </c>
      <c r="I445" s="39"/>
      <c r="J445" s="39"/>
    </row>
    <row r="446">
      <c r="A446" s="7" t="s">
        <v>66</v>
      </c>
      <c r="B446" s="8">
        <v>7.000700528E9</v>
      </c>
      <c r="C446" s="7" t="s">
        <v>848</v>
      </c>
      <c r="D446" s="3" t="s">
        <v>11</v>
      </c>
      <c r="E446" s="3" t="s">
        <v>12</v>
      </c>
      <c r="F446" s="27" t="s">
        <v>849</v>
      </c>
      <c r="G446" s="11"/>
      <c r="H446" s="3" t="s">
        <v>298</v>
      </c>
      <c r="I446" s="39"/>
      <c r="J446" s="39"/>
    </row>
    <row r="447">
      <c r="A447" s="7" t="s">
        <v>66</v>
      </c>
      <c r="B447" s="8">
        <v>7.000700529E9</v>
      </c>
      <c r="C447" s="7" t="s">
        <v>850</v>
      </c>
      <c r="D447" s="3" t="s">
        <v>11</v>
      </c>
      <c r="E447" s="3" t="s">
        <v>12</v>
      </c>
      <c r="F447" s="27" t="s">
        <v>851</v>
      </c>
      <c r="G447" s="11"/>
      <c r="H447" s="11"/>
      <c r="I447" s="39"/>
      <c r="J447" s="39"/>
    </row>
    <row r="448">
      <c r="A448" s="7" t="s">
        <v>66</v>
      </c>
      <c r="B448" s="8">
        <v>7.000700531E9</v>
      </c>
      <c r="C448" s="7" t="s">
        <v>852</v>
      </c>
      <c r="D448" s="3" t="s">
        <v>11</v>
      </c>
      <c r="E448" s="3" t="s">
        <v>12</v>
      </c>
      <c r="F448" s="27" t="s">
        <v>853</v>
      </c>
      <c r="G448" s="11"/>
      <c r="H448" s="11"/>
      <c r="I448" s="26" t="s">
        <v>427</v>
      </c>
      <c r="J448" s="39"/>
    </row>
    <row r="449">
      <c r="A449" s="7" t="s">
        <v>8</v>
      </c>
      <c r="B449" s="8">
        <v>7.000700532E9</v>
      </c>
      <c r="C449" s="7" t="s">
        <v>854</v>
      </c>
      <c r="D449" s="3" t="s">
        <v>11</v>
      </c>
      <c r="E449" s="3" t="s">
        <v>30</v>
      </c>
      <c r="F449" s="10" t="s">
        <v>37</v>
      </c>
      <c r="G449" s="11"/>
      <c r="H449" s="11"/>
      <c r="I449" s="39"/>
      <c r="J449" s="39"/>
    </row>
    <row r="450">
      <c r="A450" s="7" t="s">
        <v>66</v>
      </c>
      <c r="B450" s="15">
        <v>2.000050506E9</v>
      </c>
      <c r="C450" s="7" t="s">
        <v>855</v>
      </c>
      <c r="D450" s="3" t="s">
        <v>11</v>
      </c>
      <c r="E450" s="3" t="s">
        <v>324</v>
      </c>
      <c r="F450" s="27" t="s">
        <v>856</v>
      </c>
      <c r="G450" s="11"/>
      <c r="H450" s="11"/>
      <c r="I450" s="39"/>
      <c r="J450" s="39"/>
    </row>
    <row r="451">
      <c r="A451" s="7" t="s">
        <v>8</v>
      </c>
      <c r="B451" s="8">
        <v>7.000002225E9</v>
      </c>
      <c r="C451" s="7" t="s">
        <v>857</v>
      </c>
      <c r="D451" s="3" t="s">
        <v>11</v>
      </c>
      <c r="E451" s="3" t="s">
        <v>324</v>
      </c>
      <c r="F451" s="27" t="s">
        <v>858</v>
      </c>
      <c r="G451" s="11"/>
      <c r="H451" s="47"/>
      <c r="I451" s="39"/>
      <c r="J451" s="39"/>
    </row>
    <row r="452">
      <c r="A452" s="7" t="s">
        <v>66</v>
      </c>
      <c r="B452" s="8">
        <v>7.000700534E9</v>
      </c>
      <c r="C452" s="7" t="s">
        <v>859</v>
      </c>
      <c r="D452" s="3" t="s">
        <v>11</v>
      </c>
      <c r="E452" s="3" t="s">
        <v>324</v>
      </c>
      <c r="F452" s="27" t="s">
        <v>860</v>
      </c>
      <c r="G452" s="11"/>
      <c r="H452" s="11"/>
      <c r="I452" s="39"/>
      <c r="J452" s="39"/>
    </row>
    <row r="453">
      <c r="A453" s="7" t="s">
        <v>8</v>
      </c>
      <c r="B453" s="8">
        <v>7.000700535E9</v>
      </c>
      <c r="C453" s="7" t="s">
        <v>861</v>
      </c>
      <c r="D453" s="3" t="s">
        <v>11</v>
      </c>
      <c r="E453" s="3" t="s">
        <v>324</v>
      </c>
      <c r="F453" s="27" t="s">
        <v>862</v>
      </c>
      <c r="G453" s="11"/>
      <c r="H453" s="11"/>
      <c r="I453" s="39"/>
      <c r="J453" s="39"/>
    </row>
    <row r="454">
      <c r="A454" s="7" t="s">
        <v>8</v>
      </c>
      <c r="B454" s="8">
        <v>7.000004579E9</v>
      </c>
      <c r="C454" s="7" t="s">
        <v>863</v>
      </c>
      <c r="D454" s="3" t="s">
        <v>11</v>
      </c>
      <c r="E454" s="3" t="s">
        <v>324</v>
      </c>
      <c r="F454" s="27" t="s">
        <v>864</v>
      </c>
      <c r="G454" s="11"/>
      <c r="H454" s="3" t="s">
        <v>298</v>
      </c>
      <c r="I454" s="39"/>
      <c r="J454" s="39"/>
    </row>
    <row r="455">
      <c r="A455" s="7" t="s">
        <v>8</v>
      </c>
      <c r="B455" s="8">
        <v>7.000700537E9</v>
      </c>
      <c r="C455" s="7" t="s">
        <v>865</v>
      </c>
      <c r="D455" s="3" t="s">
        <v>11</v>
      </c>
      <c r="E455" s="3" t="s">
        <v>324</v>
      </c>
      <c r="F455" s="27" t="s">
        <v>866</v>
      </c>
      <c r="G455" s="11"/>
      <c r="H455" s="11"/>
      <c r="I455" s="39"/>
      <c r="J455" s="39"/>
    </row>
    <row r="456">
      <c r="A456" s="7" t="s">
        <v>66</v>
      </c>
      <c r="B456" s="8">
        <v>2.000003081E9</v>
      </c>
      <c r="C456" s="17" t="s">
        <v>867</v>
      </c>
      <c r="D456" s="3" t="s">
        <v>410</v>
      </c>
      <c r="E456" s="3" t="s">
        <v>59</v>
      </c>
      <c r="F456" s="48" t="s">
        <v>868</v>
      </c>
      <c r="G456" s="11"/>
      <c r="H456" s="49"/>
      <c r="I456" s="42"/>
      <c r="J456" s="42"/>
    </row>
    <row r="457">
      <c r="A457" s="7" t="s">
        <v>66</v>
      </c>
      <c r="B457" s="8">
        <v>2.000050508E9</v>
      </c>
      <c r="C457" s="7" t="s">
        <v>869</v>
      </c>
      <c r="D457" s="3" t="s">
        <v>162</v>
      </c>
      <c r="E457" s="3" t="s">
        <v>324</v>
      </c>
      <c r="F457" s="27" t="s">
        <v>870</v>
      </c>
      <c r="G457" s="11"/>
      <c r="H457" s="11"/>
      <c r="I457" s="39"/>
      <c r="J457" s="39"/>
    </row>
    <row r="458">
      <c r="A458" s="7" t="s">
        <v>14</v>
      </c>
      <c r="B458" s="15">
        <v>7.00070054E9</v>
      </c>
      <c r="C458" s="17" t="s">
        <v>871</v>
      </c>
      <c r="D458" s="3" t="s">
        <v>11</v>
      </c>
      <c r="E458" s="3" t="s">
        <v>324</v>
      </c>
      <c r="F458" s="27" t="s">
        <v>872</v>
      </c>
      <c r="G458" s="11"/>
      <c r="H458" s="11"/>
      <c r="I458" s="39"/>
      <c r="J458" s="39"/>
    </row>
    <row r="459">
      <c r="A459" s="7" t="s">
        <v>8</v>
      </c>
      <c r="B459" s="15">
        <v>7.000700543E9</v>
      </c>
      <c r="C459" s="7" t="s">
        <v>873</v>
      </c>
      <c r="D459" s="3" t="s">
        <v>11</v>
      </c>
      <c r="E459" s="3" t="s">
        <v>324</v>
      </c>
      <c r="F459" s="27" t="s">
        <v>874</v>
      </c>
      <c r="G459" s="11"/>
      <c r="H459" s="11"/>
      <c r="I459" s="39"/>
      <c r="J459" s="39"/>
    </row>
    <row r="460">
      <c r="A460" s="7" t="s">
        <v>8</v>
      </c>
      <c r="B460" s="8">
        <v>2.000002901E9</v>
      </c>
      <c r="C460" s="7" t="s">
        <v>875</v>
      </c>
      <c r="D460" s="3" t="s">
        <v>11</v>
      </c>
      <c r="E460" s="3" t="s">
        <v>324</v>
      </c>
      <c r="F460" s="27" t="s">
        <v>876</v>
      </c>
      <c r="G460" s="11"/>
      <c r="H460" s="3" t="s">
        <v>877</v>
      </c>
      <c r="I460" s="39"/>
      <c r="J460" s="39"/>
    </row>
    <row r="461">
      <c r="A461" s="6"/>
      <c r="B461" s="6"/>
      <c r="C461" s="6"/>
      <c r="D461" s="6"/>
      <c r="E461" s="6"/>
      <c r="F461" s="50"/>
      <c r="G461" s="6"/>
      <c r="H461" s="6"/>
      <c r="I461" s="6"/>
      <c r="J461" s="6"/>
    </row>
    <row r="462">
      <c r="A462" s="6"/>
      <c r="B462" s="6"/>
      <c r="C462" s="6"/>
      <c r="D462" s="6"/>
      <c r="E462" s="6"/>
      <c r="F462" s="50"/>
      <c r="G462" s="6"/>
      <c r="H462" s="6"/>
      <c r="I462" s="6"/>
      <c r="J462" s="6"/>
    </row>
    <row r="463">
      <c r="A463" s="6"/>
      <c r="B463" s="6"/>
      <c r="C463" s="6"/>
      <c r="D463" s="6"/>
      <c r="E463" s="6"/>
      <c r="F463" s="50"/>
      <c r="G463" s="6"/>
      <c r="H463" s="6"/>
      <c r="I463" s="6"/>
      <c r="J463" s="6"/>
    </row>
  </sheetData>
  <hyperlinks>
    <hyperlink r:id="rId1" ref="F3"/>
    <hyperlink r:id="rId2" ref="F4"/>
    <hyperlink r:id="rId3" ref="F5"/>
    <hyperlink r:id="rId4" ref="F6"/>
    <hyperlink r:id="rId5" ref="F7"/>
    <hyperlink r:id="rId6" ref="F8"/>
    <hyperlink r:id="rId7" ref="F10"/>
    <hyperlink r:id="rId8" ref="F12"/>
    <hyperlink r:id="rId9" ref="F14"/>
    <hyperlink r:id="rId10" ref="F15"/>
    <hyperlink r:id="rId11" ref="F17"/>
    <hyperlink r:id="rId12" ref="F18"/>
    <hyperlink r:id="rId13" ref="F19"/>
    <hyperlink r:id="rId14" ref="F21"/>
    <hyperlink r:id="rId15" ref="F22"/>
    <hyperlink r:id="rId16" ref="F23"/>
    <hyperlink r:id="rId17" ref="F24"/>
    <hyperlink r:id="rId18" ref="F26"/>
    <hyperlink r:id="rId19" ref="F27"/>
    <hyperlink r:id="rId20" ref="F28"/>
    <hyperlink r:id="rId21" ref="F29"/>
    <hyperlink r:id="rId22" ref="F30"/>
    <hyperlink r:id="rId23" ref="F31"/>
    <hyperlink r:id="rId24" ref="F32"/>
    <hyperlink r:id="rId25" ref="F33"/>
    <hyperlink r:id="rId26" ref="F34"/>
    <hyperlink r:id="rId27" ref="F35"/>
    <hyperlink r:id="rId28" ref="F36"/>
    <hyperlink r:id="rId29" ref="F37"/>
    <hyperlink r:id="rId30" ref="F38"/>
    <hyperlink r:id="rId31" ref="F39"/>
    <hyperlink r:id="rId32" ref="F41"/>
    <hyperlink r:id="rId33" ref="F42"/>
    <hyperlink r:id="rId34" ref="F43"/>
    <hyperlink r:id="rId35" ref="F44"/>
    <hyperlink r:id="rId36" location="!/index" ref="F45"/>
    <hyperlink r:id="rId37" ref="F46"/>
    <hyperlink r:id="rId38" ref="F47"/>
    <hyperlink r:id="rId39" ref="F48"/>
    <hyperlink r:id="rId40" ref="F49"/>
    <hyperlink r:id="rId41" ref="F51"/>
    <hyperlink r:id="rId42" ref="F52"/>
    <hyperlink r:id="rId43" ref="F53"/>
    <hyperlink r:id="rId44" ref="F54"/>
    <hyperlink r:id="rId45" ref="F55"/>
    <hyperlink r:id="rId46" ref="F56"/>
    <hyperlink r:id="rId47" ref="F57"/>
    <hyperlink r:id="rId48" ref="F58"/>
    <hyperlink r:id="rId49" ref="F59"/>
    <hyperlink r:id="rId50" location="!/" ref="F60"/>
    <hyperlink r:id="rId51" ref="F61"/>
    <hyperlink r:id="rId52" location="life-insurance" ref="F62"/>
    <hyperlink r:id="rId53" ref="F63"/>
    <hyperlink r:id="rId54" ref="F64"/>
    <hyperlink r:id="rId55" ref="F65"/>
    <hyperlink r:id="rId56" ref="F67"/>
    <hyperlink r:id="rId57" ref="F69"/>
    <hyperlink r:id="rId58" ref="F70"/>
    <hyperlink r:id="rId59" ref="F71"/>
    <hyperlink r:id="rId60" ref="F72"/>
    <hyperlink r:id="rId61" ref="F73"/>
    <hyperlink r:id="rId62" ref="F74"/>
    <hyperlink r:id="rId63" ref="F75"/>
    <hyperlink r:id="rId64" ref="F77"/>
    <hyperlink r:id="rId65" ref="F78"/>
    <hyperlink r:id="rId66" ref="F79"/>
    <hyperlink r:id="rId67" ref="F80"/>
    <hyperlink r:id="rId68" ref="F81"/>
    <hyperlink r:id="rId69" ref="F82"/>
    <hyperlink r:id="rId70" ref="F83"/>
    <hyperlink r:id="rId71" ref="F84"/>
    <hyperlink r:id="rId72" ref="F85"/>
    <hyperlink r:id="rId73" ref="F86"/>
    <hyperlink r:id="rId74" ref="F87"/>
    <hyperlink r:id="rId75" ref="F88"/>
    <hyperlink r:id="rId76" ref="F89"/>
    <hyperlink r:id="rId77" ref="F90"/>
    <hyperlink r:id="rId78" ref="F91"/>
    <hyperlink r:id="rId79" ref="F92"/>
    <hyperlink r:id="rId80" ref="F93"/>
    <hyperlink r:id="rId81" ref="F94"/>
    <hyperlink r:id="rId82" ref="F95"/>
    <hyperlink r:id="rId83" location="part" ref="F96"/>
    <hyperlink r:id="rId84" ref="F97"/>
    <hyperlink r:id="rId85" ref="F98"/>
    <hyperlink r:id="rId86" ref="F99"/>
    <hyperlink r:id="rId87" location="InsuranceG" ref="F100"/>
    <hyperlink r:id="rId88" ref="F101"/>
    <hyperlink r:id="rId89" ref="F103"/>
    <hyperlink r:id="rId90" ref="F104"/>
    <hyperlink r:id="rId91" ref="F105"/>
    <hyperlink r:id="rId92" ref="F106"/>
    <hyperlink r:id="rId93" ref="F107"/>
    <hyperlink r:id="rId94" ref="F109"/>
    <hyperlink r:id="rId95" ref="F110"/>
    <hyperlink r:id="rId96" ref="F111"/>
    <hyperlink r:id="rId97" ref="F112"/>
    <hyperlink r:id="rId98" ref="F113"/>
    <hyperlink r:id="rId99" ref="F114"/>
    <hyperlink r:id="rId100" ref="F115"/>
    <hyperlink r:id="rId101" ref="F116"/>
    <hyperlink r:id="rId102" ref="F117"/>
    <hyperlink r:id="rId103" ref="F118"/>
    <hyperlink r:id="rId104" ref="F119"/>
    <hyperlink r:id="rId105" ref="F120"/>
    <hyperlink r:id="rId106" ref="F122"/>
    <hyperlink r:id="rId107" ref="F123"/>
    <hyperlink r:id="rId108" ref="F125"/>
    <hyperlink r:id="rId109" ref="F128"/>
    <hyperlink r:id="rId110" ref="F131"/>
    <hyperlink r:id="rId111" ref="F132"/>
    <hyperlink r:id="rId112" ref="F133"/>
    <hyperlink r:id="rId113" ref="F134"/>
    <hyperlink r:id="rId114" ref="F135"/>
    <hyperlink r:id="rId115" ref="F137"/>
    <hyperlink r:id="rId116" ref="F138"/>
    <hyperlink r:id="rId117" ref="F139"/>
    <hyperlink r:id="rId118" ref="F141"/>
    <hyperlink r:id="rId119" ref="F142"/>
    <hyperlink r:id="rId120" ref="F143"/>
    <hyperlink r:id="rId121" ref="F144"/>
    <hyperlink r:id="rId122" ref="F147"/>
    <hyperlink r:id="rId123" ref="F149"/>
    <hyperlink r:id="rId124" ref="F151"/>
    <hyperlink r:id="rId125" ref="F153"/>
    <hyperlink r:id="rId126" ref="F157"/>
    <hyperlink r:id="rId127" ref="F159"/>
    <hyperlink r:id="rId128" ref="F160"/>
    <hyperlink r:id="rId129" ref="F161"/>
    <hyperlink r:id="rId130" ref="F162"/>
    <hyperlink r:id="rId131" ref="F165"/>
    <hyperlink r:id="rId132" ref="F166"/>
    <hyperlink r:id="rId133" ref="F168"/>
    <hyperlink r:id="rId134" ref="F169"/>
    <hyperlink r:id="rId135" ref="F171"/>
    <hyperlink r:id="rId136" ref="F172"/>
    <hyperlink r:id="rId137" ref="F173"/>
    <hyperlink r:id="rId138" ref="F178"/>
    <hyperlink r:id="rId139" ref="F179"/>
    <hyperlink r:id="rId140" ref="F180"/>
    <hyperlink r:id="rId141" ref="F185"/>
    <hyperlink r:id="rId142" ref="F186"/>
    <hyperlink r:id="rId143" ref="F188"/>
    <hyperlink r:id="rId144" ref="F191"/>
    <hyperlink r:id="rId145" ref="F194"/>
    <hyperlink r:id="rId146" ref="F195"/>
    <hyperlink r:id="rId147" ref="F196"/>
    <hyperlink r:id="rId148" ref="F197"/>
    <hyperlink r:id="rId149" ref="F204"/>
    <hyperlink r:id="rId150" ref="F214"/>
    <hyperlink r:id="rId151" ref="F216"/>
    <hyperlink r:id="rId152" ref="F217"/>
    <hyperlink r:id="rId153" ref="F219"/>
    <hyperlink r:id="rId154" ref="F220"/>
    <hyperlink r:id="rId155" ref="F221"/>
    <hyperlink r:id="rId156" ref="F222"/>
    <hyperlink r:id="rId157" ref="F223"/>
    <hyperlink r:id="rId158" ref="F224"/>
    <hyperlink r:id="rId159" ref="F225"/>
    <hyperlink r:id="rId160" ref="F226"/>
    <hyperlink r:id="rId161" ref="F227"/>
    <hyperlink r:id="rId162" ref="F228"/>
    <hyperlink r:id="rId163" ref="F229"/>
    <hyperlink r:id="rId164" ref="F230"/>
    <hyperlink r:id="rId165" ref="F231"/>
    <hyperlink r:id="rId166" ref="F233"/>
    <hyperlink r:id="rId167" ref="F234"/>
    <hyperlink r:id="rId168" ref="F235"/>
    <hyperlink r:id="rId169" ref="F236"/>
    <hyperlink r:id="rId170" ref="F237"/>
    <hyperlink r:id="rId171" ref="F238"/>
    <hyperlink r:id="rId172" location="about" ref="F239"/>
    <hyperlink r:id="rId173" ref="F240"/>
    <hyperlink r:id="rId174" ref="F241"/>
    <hyperlink r:id="rId175" ref="F242"/>
    <hyperlink r:id="rId176" ref="F243"/>
    <hyperlink r:id="rId177" ref="F245"/>
    <hyperlink r:id="rId178" ref="F246"/>
    <hyperlink r:id="rId179" ref="F247"/>
    <hyperlink r:id="rId180" ref="F249"/>
    <hyperlink r:id="rId181" ref="F250"/>
    <hyperlink r:id="rId182" ref="F251"/>
    <hyperlink r:id="rId183" ref="F252"/>
    <hyperlink r:id="rId184" ref="F254"/>
    <hyperlink r:id="rId185" ref="F255"/>
    <hyperlink r:id="rId186" ref="F256"/>
    <hyperlink r:id="rId187" ref="F257"/>
    <hyperlink r:id="rId188" ref="F258"/>
    <hyperlink r:id="rId189" ref="F259"/>
    <hyperlink r:id="rId190" ref="F260"/>
    <hyperlink r:id="rId191" ref="F261"/>
    <hyperlink r:id="rId192" ref="F262"/>
    <hyperlink r:id="rId193" ref="F263"/>
    <hyperlink r:id="rId194" ref="F265"/>
    <hyperlink r:id="rId195" ref="F267"/>
    <hyperlink r:id="rId196" ref="F268"/>
    <hyperlink r:id="rId197" ref="F269"/>
    <hyperlink r:id="rId198" ref="F270"/>
    <hyperlink r:id="rId199" ref="F272"/>
    <hyperlink r:id="rId200" ref="F273"/>
    <hyperlink r:id="rId201" ref="F275"/>
    <hyperlink r:id="rId202" ref="F276"/>
    <hyperlink r:id="rId203" ref="F277"/>
    <hyperlink r:id="rId204" ref="F278"/>
    <hyperlink r:id="rId205" ref="F279"/>
    <hyperlink r:id="rId206" ref="F280"/>
    <hyperlink r:id="rId207" ref="F281"/>
    <hyperlink r:id="rId208" ref="F283"/>
    <hyperlink r:id="rId209" ref="F284"/>
    <hyperlink r:id="rId210" ref="F285"/>
    <hyperlink r:id="rId211" ref="F287"/>
    <hyperlink r:id="rId212" ref="F289"/>
    <hyperlink r:id="rId213" ref="F290"/>
    <hyperlink r:id="rId214" ref="F291"/>
    <hyperlink r:id="rId215" location="about" ref="F292"/>
    <hyperlink r:id="rId216" ref="F293"/>
    <hyperlink r:id="rId217" ref="F294"/>
    <hyperlink r:id="rId218" ref="F295"/>
    <hyperlink r:id="rId219" ref="F296"/>
    <hyperlink r:id="rId220" ref="F297"/>
    <hyperlink r:id="rId221" ref="F299"/>
    <hyperlink r:id="rId222" ref="F300"/>
    <hyperlink r:id="rId223" ref="F301"/>
    <hyperlink r:id="rId224" ref="F302"/>
    <hyperlink r:id="rId225" ref="F304"/>
    <hyperlink r:id="rId226" ref="F305"/>
    <hyperlink r:id="rId227" ref="F306"/>
    <hyperlink r:id="rId228" ref="F307"/>
    <hyperlink r:id="rId229" ref="F308"/>
    <hyperlink r:id="rId230" ref="F310"/>
    <hyperlink r:id="rId231" ref="F311"/>
    <hyperlink r:id="rId232" ref="F312"/>
    <hyperlink r:id="rId233" ref="F313"/>
    <hyperlink r:id="rId234" ref="F314"/>
    <hyperlink r:id="rId235" ref="F315"/>
    <hyperlink r:id="rId236" ref="F316"/>
    <hyperlink r:id="rId237" ref="F318"/>
    <hyperlink r:id="rId238" ref="F319"/>
    <hyperlink r:id="rId239" ref="F320"/>
    <hyperlink r:id="rId240" ref="F321"/>
    <hyperlink r:id="rId241" ref="F323"/>
    <hyperlink r:id="rId242" ref="F324"/>
    <hyperlink r:id="rId243" ref="F325"/>
    <hyperlink r:id="rId244" ref="F326"/>
    <hyperlink r:id="rId245" ref="F327"/>
    <hyperlink r:id="rId246" ref="F328"/>
    <hyperlink r:id="rId247" ref="F329"/>
    <hyperlink r:id="rId248" ref="F330"/>
    <hyperlink r:id="rId249" ref="F331"/>
    <hyperlink r:id="rId250" ref="F332"/>
    <hyperlink r:id="rId251" ref="F333"/>
    <hyperlink r:id="rId252" ref="F334"/>
    <hyperlink r:id="rId253" ref="F336"/>
    <hyperlink r:id="rId254" ref="F338"/>
    <hyperlink r:id="rId255" ref="F340"/>
    <hyperlink r:id="rId256" ref="F341"/>
    <hyperlink r:id="rId257" ref="F343"/>
    <hyperlink r:id="rId258" ref="F344"/>
    <hyperlink r:id="rId259" ref="F345"/>
    <hyperlink r:id="rId260" ref="F346"/>
    <hyperlink r:id="rId261" ref="F348"/>
    <hyperlink r:id="rId262" ref="F349"/>
    <hyperlink r:id="rId263" ref="F350"/>
    <hyperlink r:id="rId264" ref="F351"/>
    <hyperlink r:id="rId265" ref="F352"/>
    <hyperlink r:id="rId266" ref="F353"/>
    <hyperlink r:id="rId267" ref="F354"/>
    <hyperlink r:id="rId268" ref="F355"/>
    <hyperlink r:id="rId269" ref="F357"/>
    <hyperlink r:id="rId270" ref="F359"/>
    <hyperlink r:id="rId271" ref="F360"/>
    <hyperlink r:id="rId272" ref="F361"/>
    <hyperlink r:id="rId273" ref="F362"/>
    <hyperlink r:id="rId274" ref="F363"/>
    <hyperlink r:id="rId275" ref="F364"/>
    <hyperlink r:id="rId276" ref="F365"/>
    <hyperlink r:id="rId277" ref="F366"/>
    <hyperlink r:id="rId278" ref="F367"/>
    <hyperlink r:id="rId279" ref="F368"/>
    <hyperlink r:id="rId280" ref="F369"/>
    <hyperlink r:id="rId281" ref="F370"/>
    <hyperlink r:id="rId282" ref="F371"/>
    <hyperlink r:id="rId283" ref="F372"/>
    <hyperlink r:id="rId284" ref="F373"/>
    <hyperlink r:id="rId285" ref="F374"/>
    <hyperlink r:id="rId286" ref="F375"/>
    <hyperlink r:id="rId287" ref="F376"/>
    <hyperlink r:id="rId288" ref="F377"/>
    <hyperlink r:id="rId289" ref="F378"/>
    <hyperlink r:id="rId290" ref="F379"/>
    <hyperlink r:id="rId291" ref="F380"/>
    <hyperlink r:id="rId292" ref="F381"/>
    <hyperlink r:id="rId293" ref="F382"/>
    <hyperlink r:id="rId294" ref="F383"/>
    <hyperlink r:id="rId295" ref="F384"/>
    <hyperlink r:id="rId296" ref="F385"/>
    <hyperlink r:id="rId297" ref="F386"/>
    <hyperlink r:id="rId298" ref="F387"/>
    <hyperlink r:id="rId299" ref="F388"/>
    <hyperlink r:id="rId300" ref="F389"/>
    <hyperlink r:id="rId301" location="p1" ref="F390"/>
    <hyperlink r:id="rId302" ref="F391"/>
    <hyperlink r:id="rId303" ref="F392"/>
    <hyperlink r:id="rId304" ref="F393"/>
    <hyperlink r:id="rId305" ref="F395"/>
    <hyperlink r:id="rId306" ref="H395"/>
    <hyperlink r:id="rId307" ref="F396"/>
    <hyperlink r:id="rId308" ref="F397"/>
    <hyperlink r:id="rId309" ref="F398"/>
    <hyperlink r:id="rId310" ref="F399"/>
    <hyperlink r:id="rId311" ref="F400"/>
    <hyperlink r:id="rId312" ref="F401"/>
    <hyperlink r:id="rId313" ref="F403"/>
    <hyperlink r:id="rId314" ref="F404"/>
    <hyperlink r:id="rId315" ref="F405"/>
    <hyperlink r:id="rId316" ref="F406"/>
    <hyperlink r:id="rId317" ref="F407"/>
    <hyperlink r:id="rId318" ref="F408"/>
    <hyperlink r:id="rId319" ref="F409"/>
    <hyperlink r:id="rId320" ref="F410"/>
    <hyperlink r:id="rId321" ref="F411"/>
    <hyperlink r:id="rId322" ref="F412"/>
    <hyperlink r:id="rId323" ref="F413"/>
    <hyperlink r:id="rId324" ref="F414"/>
    <hyperlink r:id="rId325" ref="F415"/>
    <hyperlink r:id="rId326" ref="F416"/>
    <hyperlink r:id="rId327" ref="F417"/>
    <hyperlink r:id="rId328" ref="F418"/>
    <hyperlink r:id="rId329" ref="F420"/>
    <hyperlink r:id="rId330" ref="F422"/>
    <hyperlink r:id="rId331" ref="F423"/>
    <hyperlink r:id="rId332" ref="F424"/>
    <hyperlink r:id="rId333" ref="F425"/>
    <hyperlink r:id="rId334" ref="F426"/>
    <hyperlink r:id="rId335" ref="F427"/>
    <hyperlink r:id="rId336" ref="F428"/>
    <hyperlink r:id="rId337" ref="F429"/>
    <hyperlink r:id="rId338" ref="F430"/>
    <hyperlink r:id="rId339" ref="F431"/>
    <hyperlink r:id="rId340" ref="F435"/>
    <hyperlink r:id="rId341" location="Insurance" ref="F436"/>
    <hyperlink r:id="rId342" ref="F437"/>
    <hyperlink r:id="rId343" ref="F438"/>
    <hyperlink r:id="rId344" ref="F439"/>
    <hyperlink r:id="rId345" ref="F440"/>
    <hyperlink r:id="rId346" ref="F441"/>
    <hyperlink r:id="rId347" ref="F442"/>
    <hyperlink r:id="rId348" ref="F445"/>
    <hyperlink r:id="rId349" ref="F446"/>
    <hyperlink r:id="rId350" ref="F447"/>
    <hyperlink r:id="rId351" ref="F448"/>
    <hyperlink r:id="rId352" ref="F450"/>
    <hyperlink r:id="rId353" ref="F451"/>
    <hyperlink r:id="rId354" ref="F452"/>
    <hyperlink r:id="rId355" ref="F453"/>
    <hyperlink r:id="rId356" ref="F454"/>
    <hyperlink r:id="rId357" ref="F455"/>
    <hyperlink r:id="rId358" ref="F456"/>
    <hyperlink r:id="rId359" ref="F457"/>
    <hyperlink r:id="rId360" ref="F458"/>
    <hyperlink r:id="rId361" ref="F459"/>
    <hyperlink r:id="rId362" ref="F460"/>
  </hyperlinks>
  <drawing r:id="rId3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3" width="35.0"/>
    <col customWidth="1" min="4" max="4" width="51.0"/>
    <col customWidth="1" min="5" max="5" width="18.25"/>
  </cols>
  <sheetData>
    <row r="1">
      <c r="A1" s="51" t="s">
        <v>878</v>
      </c>
      <c r="B1" s="51" t="s">
        <v>879</v>
      </c>
      <c r="C1" s="51" t="s">
        <v>880</v>
      </c>
      <c r="D1" s="51" t="s">
        <v>881</v>
      </c>
      <c r="E1" s="51" t="s">
        <v>882</v>
      </c>
    </row>
    <row r="2">
      <c r="A2" s="52">
        <v>1.0</v>
      </c>
      <c r="B2" s="53" t="s">
        <v>883</v>
      </c>
      <c r="C2" s="53" t="s">
        <v>883</v>
      </c>
      <c r="D2" s="54" t="s">
        <v>884</v>
      </c>
      <c r="E2" s="55" t="str">
        <f>HYPERLINK("https://www.google.com/search?q=site%3Abandhan.bank.in%20%22bajaj%20allianz%20life%22&amp;num=100","🔍 Search Google")</f>
        <v>🔍 Search Google</v>
      </c>
    </row>
    <row r="3">
      <c r="A3" s="56">
        <v>2.0</v>
      </c>
      <c r="B3" s="57" t="s">
        <v>885</v>
      </c>
      <c r="C3" s="57" t="s">
        <v>885</v>
      </c>
      <c r="D3" s="58" t="s">
        <v>886</v>
      </c>
      <c r="E3" s="59" t="str">
        <f>HYPERLINK("https://www.google.com/search?q=site%3Akvb.bank.in%20%22bajaj%20allianz%20life%22&amp;num=100","🔍 Search Google")</f>
        <v>🔍 Search Google</v>
      </c>
    </row>
    <row r="4">
      <c r="A4" s="52">
        <v>3.0</v>
      </c>
      <c r="B4" s="53" t="s">
        <v>887</v>
      </c>
      <c r="C4" s="53" t="s">
        <v>887</v>
      </c>
      <c r="D4" s="54" t="s">
        <v>888</v>
      </c>
      <c r="E4" s="55" t="str">
        <f>HYPERLINK("https://www.google.com/search?q=site%3Acityunionbank.bank.in%20%22bajaj%20allianz%20life%22&amp;num=100","🔍 Search Google")</f>
        <v>🔍 Search Google</v>
      </c>
    </row>
    <row r="5">
      <c r="A5" s="56">
        <v>4.0</v>
      </c>
      <c r="B5" s="57" t="s">
        <v>889</v>
      </c>
      <c r="C5" s="57" t="s">
        <v>889</v>
      </c>
      <c r="D5" s="58" t="s">
        <v>890</v>
      </c>
      <c r="E5" s="59" t="str">
        <f>HYPERLINK("https://www.google.com/search?q=site%3Atmb.bank.in%20%22bajaj%20allianz%20life%22&amp;num=100","🔍 Search Google")</f>
        <v>🔍 Search Google</v>
      </c>
    </row>
    <row r="6">
      <c r="A6" s="52">
        <v>5.0</v>
      </c>
      <c r="B6" s="53" t="s">
        <v>891</v>
      </c>
      <c r="C6" s="53" t="s">
        <v>891</v>
      </c>
      <c r="D6" s="54" t="s">
        <v>892</v>
      </c>
      <c r="E6" s="55" t="str">
        <f>HYPERLINK("https://www.google.com/search?q=site%3Aequitas.bank.in%20%22bajaj%20allianz%20life%22&amp;num=100","🔍 Search Google")</f>
        <v>🔍 Search Google</v>
      </c>
    </row>
    <row r="7">
      <c r="A7" s="56">
        <v>6.0</v>
      </c>
      <c r="B7" s="57" t="s">
        <v>893</v>
      </c>
      <c r="C7" s="57" t="s">
        <v>893</v>
      </c>
      <c r="D7" s="58" t="s">
        <v>894</v>
      </c>
      <c r="E7" s="59" t="str">
        <f>HYPERLINK("https://www.google.com/search?q=site%3Afincharts.co.in%20%22bajaj%20allianz%20life%22&amp;num=100","🔍 Search Google")</f>
        <v>🔍 Search Google</v>
      </c>
    </row>
    <row r="8">
      <c r="A8" s="52">
        <v>7.0</v>
      </c>
      <c r="B8" s="53" t="s">
        <v>895</v>
      </c>
      <c r="C8" s="53" t="s">
        <v>895</v>
      </c>
      <c r="D8" s="54" t="s">
        <v>896</v>
      </c>
      <c r="E8" s="55" t="str">
        <f>HYPERLINK("https://www.google.com/search?q=site%3Adolphininsurance.in%20%22bajaj%20allianz%20life%22&amp;num=100","🔍 Search Google")</f>
        <v>🔍 Search Google</v>
      </c>
    </row>
    <row r="9">
      <c r="A9" s="56">
        <v>8.0</v>
      </c>
      <c r="B9" s="57" t="s">
        <v>897</v>
      </c>
      <c r="C9" s="57" t="s">
        <v>897</v>
      </c>
      <c r="D9" s="58" t="s">
        <v>898</v>
      </c>
      <c r="E9" s="59" t="str">
        <f>HYPERLINK("https://www.google.com/search?q=site%3Acrci.in%20%22bajaj%20allianz%20life%22&amp;num=100","🔍 Search Google")</f>
        <v>🔍 Search Google</v>
      </c>
    </row>
    <row r="10">
      <c r="A10" s="52">
        <v>9.0</v>
      </c>
      <c r="B10" s="53" t="s">
        <v>899</v>
      </c>
      <c r="C10" s="53" t="s">
        <v>899</v>
      </c>
      <c r="D10" s="54" t="s">
        <v>900</v>
      </c>
      <c r="E10" s="55" t="str">
        <f>HYPERLINK("https://www.google.com/search?q=site%3Ainfinainsure.com%20%22bajaj%20allianz%20life%22&amp;num=100","🔍 Search Google")</f>
        <v>🔍 Search Google</v>
      </c>
    </row>
    <row r="11">
      <c r="A11" s="56">
        <v>10.0</v>
      </c>
      <c r="B11" s="57" t="s">
        <v>901</v>
      </c>
      <c r="C11" s="57" t="s">
        <v>901</v>
      </c>
      <c r="D11" s="58" t="s">
        <v>902</v>
      </c>
      <c r="E11" s="59" t="str">
        <f>HYPERLINK("https://www.google.com/search?q=site%3Asamyagbroking.com%20%22bajaj%20allianz%20life%22&amp;num=100","🔍 Search Google")</f>
        <v>🔍 Search Google</v>
      </c>
    </row>
    <row r="12">
      <c r="A12" s="52">
        <v>11.0</v>
      </c>
      <c r="B12" s="53" t="s">
        <v>903</v>
      </c>
      <c r="C12" s="53" t="s">
        <v>903</v>
      </c>
      <c r="D12" s="54" t="s">
        <v>904</v>
      </c>
      <c r="E12" s="55" t="str">
        <f>HYPERLINK("https://www.google.com/search?q=site%3Aensigninsuranceltd.com%20%22bajaj%20allianz%20life%22&amp;num=100","🔍 Search Google")</f>
        <v>🔍 Search Google</v>
      </c>
    </row>
    <row r="13">
      <c r="A13" s="56">
        <v>12.0</v>
      </c>
      <c r="B13" s="57" t="s">
        <v>905</v>
      </c>
      <c r="C13" s="57" t="s">
        <v>905</v>
      </c>
      <c r="D13" s="58" t="s">
        <v>906</v>
      </c>
      <c r="E13" s="59" t="str">
        <f>HYPERLINK("https://www.google.com/search?q=site%3Apincinsurance.com%20%22bajaj%20allianz%20life%22&amp;num=100","🔍 Search Google")</f>
        <v>🔍 Search Google</v>
      </c>
    </row>
    <row r="14">
      <c r="A14" s="52">
        <v>13.0</v>
      </c>
      <c r="B14" s="53" t="s">
        <v>907</v>
      </c>
      <c r="C14" s="53" t="s">
        <v>907</v>
      </c>
      <c r="D14" s="54" t="s">
        <v>908</v>
      </c>
      <c r="E14" s="55" t="str">
        <f>HYPERLINK("https://www.google.com/search?q=site%3Apos.veritasins.com%20%22bajaj%20allianz%20life%22&amp;num=100","🔍 Search Google")</f>
        <v>🔍 Search Google</v>
      </c>
    </row>
    <row r="15">
      <c r="A15" s="56">
        <v>14.0</v>
      </c>
      <c r="B15" s="57" t="s">
        <v>909</v>
      </c>
      <c r="C15" s="57" t="s">
        <v>909</v>
      </c>
      <c r="D15" s="58" t="s">
        <v>910</v>
      </c>
      <c r="E15" s="59" t="str">
        <f>HYPERLINK("https://www.google.com/search?q=site%3Ainstaraksha.com%20%22bajaj%20allianz%20life%22&amp;num=100","🔍 Search Google")</f>
        <v>🔍 Search Google</v>
      </c>
    </row>
    <row r="16">
      <c r="A16" s="52">
        <v>15.0</v>
      </c>
      <c r="B16" s="53" t="s">
        <v>911</v>
      </c>
      <c r="C16" s="53" t="s">
        <v>911</v>
      </c>
      <c r="D16" s="54" t="s">
        <v>912</v>
      </c>
      <c r="E16" s="55" t="str">
        <f>HYPERLINK("https://www.google.com/search?q=site%3Atrothinsurance.com%20%22bajaj%20allianz%20life%22&amp;num=100","🔍 Search Google")</f>
        <v>🔍 Search Google</v>
      </c>
    </row>
    <row r="17">
      <c r="A17" s="56">
        <v>16.0</v>
      </c>
      <c r="B17" s="57" t="s">
        <v>913</v>
      </c>
      <c r="C17" s="57" t="s">
        <v>913</v>
      </c>
      <c r="D17" s="58" t="s">
        <v>914</v>
      </c>
      <c r="E17" s="59" t="str">
        <f>HYPERLINK("https://www.google.com/search?q=site%3Aphillipservices.com%20%22bajaj%20allianz%20life%22&amp;num=100","🔍 Search Google")</f>
        <v>🔍 Search Google</v>
      </c>
    </row>
    <row r="18">
      <c r="A18" s="52">
        <v>17.0</v>
      </c>
      <c r="B18" s="53" t="s">
        <v>915</v>
      </c>
      <c r="C18" s="53" t="s">
        <v>915</v>
      </c>
      <c r="D18" s="54" t="s">
        <v>916</v>
      </c>
      <c r="E18" s="55" t="str">
        <f>HYPERLINK("https://www.google.com/search?q=site%3Asuperfinserv.com%20%22bajaj%20allianz%20life%22&amp;num=100","🔍 Search Google")</f>
        <v>🔍 Search Google</v>
      </c>
    </row>
    <row r="19">
      <c r="A19" s="56">
        <v>18.0</v>
      </c>
      <c r="B19" s="57" t="s">
        <v>917</v>
      </c>
      <c r="C19" s="57" t="s">
        <v>917</v>
      </c>
      <c r="D19" s="58" t="s">
        <v>918</v>
      </c>
      <c r="E19" s="59" t="str">
        <f>HYPERLINK("https://www.google.com/search?q=site%3Aodininsurance.com%20%22bajaj%20allianz%20life%22&amp;num=100","🔍 Search Google")</f>
        <v>🔍 Search Google</v>
      </c>
    </row>
    <row r="20">
      <c r="A20" s="52">
        <v>19.0</v>
      </c>
      <c r="B20" s="53" t="s">
        <v>919</v>
      </c>
      <c r="C20" s="53" t="s">
        <v>919</v>
      </c>
      <c r="D20" s="54" t="s">
        <v>920</v>
      </c>
      <c r="E20" s="55" t="str">
        <f>HYPERLINK("https://www.google.com/search?q=site%3Ainsurance4life.in%20%22bajaj%20allianz%20life%22&amp;num=100","🔍 Search Google")</f>
        <v>🔍 Search Google</v>
      </c>
    </row>
    <row r="21">
      <c r="A21" s="56">
        <v>20.0</v>
      </c>
      <c r="B21" s="57" t="s">
        <v>921</v>
      </c>
      <c r="C21" s="57" t="s">
        <v>921</v>
      </c>
      <c r="D21" s="58" t="s">
        <v>922</v>
      </c>
      <c r="E21" s="59" t="str">
        <f>HYPERLINK("https://www.google.com/search?q=site%3Abimabrothers.com%20%22bajaj%20allianz%20life%22&amp;num=100","🔍 Search Google")</f>
        <v>🔍 Search Google</v>
      </c>
    </row>
    <row r="22">
      <c r="A22" s="52">
        <v>21.0</v>
      </c>
      <c r="B22" s="53" t="s">
        <v>923</v>
      </c>
      <c r="C22" s="53" t="s">
        <v>923</v>
      </c>
      <c r="D22" s="54" t="s">
        <v>924</v>
      </c>
      <c r="E22" s="55" t="str">
        <f>HYPERLINK("https://www.google.com/search?q=site%3Amoneyfrog.in%20%22bajaj%20allianz%20life%22&amp;num=100","🔍 Search Google")</f>
        <v>🔍 Search Google</v>
      </c>
    </row>
    <row r="23">
      <c r="A23" s="56">
        <v>22.0</v>
      </c>
      <c r="B23" s="57" t="s">
        <v>925</v>
      </c>
      <c r="C23" s="57" t="s">
        <v>925</v>
      </c>
      <c r="D23" s="58" t="s">
        <v>926</v>
      </c>
      <c r="E23" s="59" t="str">
        <f>HYPERLINK("https://www.google.com/search?q=site%3Alambach.in%20%22bajaj%20allianz%20life%22&amp;num=100","🔍 Search Google")</f>
        <v>🔍 Search Google</v>
      </c>
    </row>
    <row r="24">
      <c r="A24" s="52">
        <v>23.0</v>
      </c>
      <c r="B24" s="53" t="s">
        <v>927</v>
      </c>
      <c r="C24" s="53" t="s">
        <v>927</v>
      </c>
      <c r="D24" s="54" t="s">
        <v>928</v>
      </c>
      <c r="E24" s="55" t="str">
        <f>HYPERLINK("https://www.google.com/search?q=site%3Ainsurancejarurihe.com%20%22bajaj%20allianz%20life%22&amp;num=100","🔍 Search Google")</f>
        <v>🔍 Search Google</v>
      </c>
    </row>
    <row r="25">
      <c r="A25" s="56">
        <v>24.0</v>
      </c>
      <c r="B25" s="57" t="s">
        <v>929</v>
      </c>
      <c r="C25" s="57" t="s">
        <v>929</v>
      </c>
      <c r="D25" s="58" t="s">
        <v>930</v>
      </c>
      <c r="E25" s="59" t="str">
        <f>HYPERLINK("https://www.google.com/search?q=site%3Airminsurance.in%20%22bajaj%20allianz%20life%22&amp;num=100","🔍 Search Google")</f>
        <v>🔍 Search Google</v>
      </c>
    </row>
    <row r="26">
      <c r="A26" s="52">
        <v>25.0</v>
      </c>
      <c r="B26" s="53" t="s">
        <v>931</v>
      </c>
      <c r="C26" s="53" t="s">
        <v>931</v>
      </c>
      <c r="D26" s="54" t="s">
        <v>932</v>
      </c>
      <c r="E26" s="55" t="str">
        <f>HYPERLINK("https://www.google.com/search?q=site%3Areliassure.in%20%22bajaj%20allianz%20life%22&amp;num=100","🔍 Search Google")</f>
        <v>🔍 Search Google</v>
      </c>
    </row>
    <row r="27">
      <c r="A27" s="56">
        <v>26.0</v>
      </c>
      <c r="B27" s="57" t="s">
        <v>933</v>
      </c>
      <c r="C27" s="57" t="s">
        <v>933</v>
      </c>
      <c r="D27" s="58" t="s">
        <v>934</v>
      </c>
      <c r="E27" s="59" t="str">
        <f>HYPERLINK("https://www.google.com/search?q=site%3Areviewrisk.com%20%22bajaj%20allianz%20life%22&amp;num=100","🔍 Search Google")</f>
        <v>🔍 Search Google</v>
      </c>
    </row>
    <row r="28">
      <c r="A28" s="52">
        <v>27.0</v>
      </c>
      <c r="B28" s="53" t="s">
        <v>935</v>
      </c>
      <c r="C28" s="53" t="s">
        <v>935</v>
      </c>
      <c r="D28" s="54" t="s">
        <v>936</v>
      </c>
      <c r="E28" s="55" t="str">
        <f>HYPERLINK("https://www.google.com/search?q=site%3Aspacapital.com%20%22bajaj%20allianz%20life%22&amp;num=100","🔍 Search Google")</f>
        <v>🔍 Search Google</v>
      </c>
    </row>
    <row r="29">
      <c r="A29" s="56">
        <v>28.0</v>
      </c>
      <c r="B29" s="57" t="s">
        <v>937</v>
      </c>
      <c r="C29" s="57" t="s">
        <v>937</v>
      </c>
      <c r="D29" s="58" t="s">
        <v>938</v>
      </c>
      <c r="E29" s="59" t="str">
        <f>HYPERLINK("https://www.google.com/search?q=site%3Abewealthy.co.in%20%22bajaj%20allianz%20life%22&amp;num=100","🔍 Search Google")</f>
        <v>🔍 Search Google</v>
      </c>
    </row>
    <row r="30">
      <c r="A30" s="52">
        <v>29.0</v>
      </c>
      <c r="B30" s="53" t="s">
        <v>939</v>
      </c>
      <c r="C30" s="53" t="s">
        <v>939</v>
      </c>
      <c r="D30" s="54" t="s">
        <v>940</v>
      </c>
      <c r="E30" s="55" t="str">
        <f>HYPERLINK("https://www.google.com/search?q=site%3Apolicyx.com%20%22bajaj%20allianz%20life%22&amp;num=100","🔍 Search Google")</f>
        <v>🔍 Search Google</v>
      </c>
    </row>
    <row r="31">
      <c r="A31" s="56">
        <v>30.0</v>
      </c>
      <c r="B31" s="57" t="s">
        <v>941</v>
      </c>
      <c r="C31" s="57" t="s">
        <v>941</v>
      </c>
      <c r="D31" s="58" t="s">
        <v>942</v>
      </c>
      <c r="E31" s="59" t="str">
        <f>HYPERLINK("https://www.google.com/search?q=site%3Apaytminsurance.co.in%20%22bajaj%20allianz%20life%22&amp;num=100","🔍 Search Google")</f>
        <v>🔍 Search Google</v>
      </c>
    </row>
    <row r="32">
      <c r="A32" s="52">
        <v>31.0</v>
      </c>
      <c r="B32" s="53" t="s">
        <v>943</v>
      </c>
      <c r="C32" s="53" t="s">
        <v>943</v>
      </c>
      <c r="D32" s="54" t="s">
        <v>944</v>
      </c>
      <c r="E32" s="55" t="str">
        <f>HYPERLINK("https://www.google.com/search?q=site%3Aregalinsurancebrokers.com%20%22bajaj%20allianz%20life%22&amp;num=100","🔍 Search Google")</f>
        <v>🔍 Search Google</v>
      </c>
    </row>
    <row r="33">
      <c r="A33" s="56">
        <v>32.0</v>
      </c>
      <c r="B33" s="57" t="s">
        <v>945</v>
      </c>
      <c r="C33" s="57" t="s">
        <v>945</v>
      </c>
      <c r="D33" s="58" t="s">
        <v>946</v>
      </c>
      <c r="E33" s="59" t="str">
        <f>HYPERLINK("https://www.google.com/search?q=site%3Atorqueinsure.com%20%22bajaj%20allianz%20life%22&amp;num=100","🔍 Search Google")</f>
        <v>🔍 Search Google</v>
      </c>
    </row>
    <row r="34">
      <c r="A34" s="52">
        <v>33.0</v>
      </c>
      <c r="B34" s="53" t="s">
        <v>947</v>
      </c>
      <c r="C34" s="53" t="s">
        <v>947</v>
      </c>
      <c r="D34" s="54" t="s">
        <v>948</v>
      </c>
      <c r="E34" s="55" t="str">
        <f>HYPERLINK("https://www.google.com/search?q=site%3Aaryavinsurance.com%20%22bajaj%20allianz%20life%22&amp;num=100","🔍 Search Google")</f>
        <v>🔍 Search Google</v>
      </c>
    </row>
    <row r="35">
      <c r="A35" s="56">
        <v>34.0</v>
      </c>
      <c r="B35" s="57" t="s">
        <v>949</v>
      </c>
      <c r="C35" s="57" t="s">
        <v>949</v>
      </c>
      <c r="D35" s="58" t="s">
        <v>950</v>
      </c>
      <c r="E35" s="59" t="str">
        <f>HYPERLINK("https://www.google.com/search?q=site%3Apaavanains.co.in%20%22bajaj%20allianz%20life%22&amp;num=100","🔍 Search Google")</f>
        <v>🔍 Search Google</v>
      </c>
    </row>
    <row r="36">
      <c r="A36" s="52">
        <v>35.0</v>
      </c>
      <c r="B36" s="53" t="s">
        <v>951</v>
      </c>
      <c r="C36" s="53" t="s">
        <v>951</v>
      </c>
      <c r="D36" s="54" t="s">
        <v>952</v>
      </c>
      <c r="E36" s="55" t="str">
        <f>HYPERLINK("https://www.google.com/search?q=site%3Aapp.gintejainsurance.com%20%22bajaj%20allianz%20life%22&amp;num=100","🔍 Search Google")</f>
        <v>🔍 Search Google</v>
      </c>
    </row>
    <row r="37">
      <c r="A37" s="56">
        <v>36.0</v>
      </c>
      <c r="B37" s="57" t="s">
        <v>953</v>
      </c>
      <c r="C37" s="57" t="s">
        <v>953</v>
      </c>
      <c r="D37" s="58" t="s">
        <v>954</v>
      </c>
      <c r="E37" s="59" t="str">
        <f>HYPERLINK("https://www.google.com/search?q=site%3Ainsurenearby.in%20%22bajaj%20allianz%20life%22&amp;num=100","🔍 Search Google")</f>
        <v>🔍 Search Google</v>
      </c>
    </row>
    <row r="38">
      <c r="A38" s="52">
        <v>37.0</v>
      </c>
      <c r="B38" s="53" t="s">
        <v>955</v>
      </c>
      <c r="C38" s="53" t="s">
        <v>955</v>
      </c>
      <c r="D38" s="54" t="s">
        <v>956</v>
      </c>
      <c r="E38" s="55" t="str">
        <f>HYPERLINK("https://www.google.com/search?q=site%3Aprudentbrokers.com%20%22bajaj%20allianz%20life%22&amp;num=100","🔍 Search Google")</f>
        <v>🔍 Search Google</v>
      </c>
    </row>
    <row r="39">
      <c r="A39" s="56">
        <v>38.0</v>
      </c>
      <c r="B39" s="57" t="s">
        <v>957</v>
      </c>
      <c r="C39" s="57" t="s">
        <v>957</v>
      </c>
      <c r="D39" s="58" t="s">
        <v>958</v>
      </c>
      <c r="E39" s="59" t="str">
        <f>HYPERLINK("https://www.google.com/search?q=site%3Acoverfox.com%20%22bajaj%20allianz%20life%22&amp;num=100","🔍 Search Google")</f>
        <v>🔍 Search Google</v>
      </c>
    </row>
    <row r="40">
      <c r="A40" s="52">
        <v>39.0</v>
      </c>
      <c r="B40" s="53" t="s">
        <v>959</v>
      </c>
      <c r="C40" s="53" t="s">
        <v>959</v>
      </c>
      <c r="D40" s="54" t="s">
        <v>960</v>
      </c>
      <c r="E40" s="55" t="str">
        <f>HYPERLINK("https://www.google.com/search?q=site%3Acovermitra.com%20%22bajaj%20allianz%20life%22&amp;num=100","🔍 Search Google")</f>
        <v>🔍 Search Google</v>
      </c>
    </row>
    <row r="41">
      <c r="A41" s="56">
        <v>40.0</v>
      </c>
      <c r="B41" s="57" t="s">
        <v>961</v>
      </c>
      <c r="C41" s="57" t="s">
        <v>961</v>
      </c>
      <c r="D41" s="58" t="s">
        <v>962</v>
      </c>
      <c r="E41" s="59" t="str">
        <f>HYPERLINK("https://www.google.com/search?q=site%3Aindmoney.com%20%22bajaj%20allianz%20life%22&amp;num=100","🔍 Search Google")</f>
        <v>🔍 Search Google</v>
      </c>
    </row>
    <row r="42">
      <c r="A42" s="52">
        <v>41.0</v>
      </c>
      <c r="B42" s="53" t="s">
        <v>963</v>
      </c>
      <c r="C42" s="53" t="s">
        <v>963</v>
      </c>
      <c r="D42" s="54" t="s">
        <v>964</v>
      </c>
      <c r="E42" s="55" t="str">
        <f>HYPERLINK("https://www.google.com/search?q=site%3Aajg.com%20%22bajaj%20allianz%20life%22&amp;num=100","🔍 Search Google")</f>
        <v>🔍 Search Google</v>
      </c>
    </row>
    <row r="43">
      <c r="A43" s="56">
        <v>42.0</v>
      </c>
      <c r="B43" s="57" t="s">
        <v>965</v>
      </c>
      <c r="C43" s="57" t="s">
        <v>965</v>
      </c>
      <c r="D43" s="58" t="s">
        <v>966</v>
      </c>
      <c r="E43" s="59" t="str">
        <f>HYPERLINK("https://www.google.com/search?q=site%3Apolicypoint.co%20%22bajaj%20allianz%20life%22&amp;num=100","🔍 Search Google")</f>
        <v>🔍 Search Google</v>
      </c>
    </row>
    <row r="44">
      <c r="A44" s="52">
        <v>43.0</v>
      </c>
      <c r="B44" s="53" t="s">
        <v>967</v>
      </c>
      <c r="C44" s="53" t="s">
        <v>967</v>
      </c>
      <c r="D44" s="54" t="s">
        <v>968</v>
      </c>
      <c r="E44" s="55" t="str">
        <f>HYPERLINK("https://www.google.com/search?q=site%3Avittachayainsurance.com%20%22bajaj%20allianz%20life%22&amp;num=100","🔍 Search Google")</f>
        <v>🔍 Search Google</v>
      </c>
    </row>
    <row r="45">
      <c r="A45" s="56">
        <v>44.0</v>
      </c>
      <c r="B45" s="57" t="s">
        <v>969</v>
      </c>
      <c r="C45" s="57" t="s">
        <v>969</v>
      </c>
      <c r="D45" s="58" t="s">
        <v>970</v>
      </c>
      <c r="E45" s="59" t="str">
        <f>HYPERLINK("https://www.google.com/search?q=site%3Anovabroking.com%20%22bajaj%20allianz%20life%22&amp;num=100","🔍 Search Google")</f>
        <v>🔍 Search Google</v>
      </c>
    </row>
    <row r="46">
      <c r="A46" s="52">
        <v>45.0</v>
      </c>
      <c r="B46" s="53" t="s">
        <v>971</v>
      </c>
      <c r="C46" s="53" t="s">
        <v>971</v>
      </c>
      <c r="D46" s="54" t="s">
        <v>972</v>
      </c>
      <c r="E46" s="55" t="str">
        <f>HYPERLINK("https://www.google.com/search?q=site%3Aalacrityib.in%20%22bajaj%20allianz%20life%22&amp;num=100","🔍 Search Google")</f>
        <v>🔍 Search Google</v>
      </c>
    </row>
    <row r="47">
      <c r="A47" s="56">
        <v>46.0</v>
      </c>
      <c r="B47" s="57" t="s">
        <v>973</v>
      </c>
      <c r="C47" s="57" t="s">
        <v>973</v>
      </c>
      <c r="D47" s="58" t="s">
        <v>974</v>
      </c>
      <c r="E47" s="59" t="str">
        <f>HYPERLINK("https://www.google.com/search?q=site%3Awealthy.in%20%22bajaj%20allianz%20life%22&amp;num=100","🔍 Search Google")</f>
        <v>🔍 Search Google</v>
      </c>
    </row>
    <row r="48">
      <c r="A48" s="52">
        <v>47.0</v>
      </c>
      <c r="B48" s="53" t="s">
        <v>975</v>
      </c>
      <c r="C48" s="53" t="s">
        <v>975</v>
      </c>
      <c r="D48" s="54" t="s">
        <v>976</v>
      </c>
      <c r="E48" s="55" t="str">
        <f>HYPERLINK("https://www.google.com/search?q=site%3Avibeins.com%20%22bajaj%20allianz%20life%22&amp;num=100","🔍 Search Google")</f>
        <v>🔍 Search Google</v>
      </c>
    </row>
    <row r="49">
      <c r="A49" s="56">
        <v>48.0</v>
      </c>
      <c r="B49" s="57" t="s">
        <v>977</v>
      </c>
      <c r="C49" s="57" t="s">
        <v>977</v>
      </c>
      <c r="D49" s="58" t="s">
        <v>978</v>
      </c>
      <c r="E49" s="59" t="str">
        <f>HYPERLINK("https://www.google.com/search?q=site%3Afisdom.com%20%22bajaj%20allianz%20life%22&amp;num=100","🔍 Search Google")</f>
        <v>🔍 Search Google</v>
      </c>
    </row>
    <row r="50">
      <c r="A50" s="52">
        <v>49.0</v>
      </c>
      <c r="B50" s="53" t="s">
        <v>979</v>
      </c>
      <c r="C50" s="53" t="s">
        <v>979</v>
      </c>
      <c r="D50" s="54" t="s">
        <v>980</v>
      </c>
      <c r="E50" s="55" t="str">
        <f>HYPERLINK("https://www.google.com/search?q=site%3Asrassociate.co.in%20%22bajaj%20allianz%20life%22&amp;num=100","🔍 Search Google")</f>
        <v>🔍 Search Google</v>
      </c>
    </row>
    <row r="51">
      <c r="A51" s="56">
        <v>50.0</v>
      </c>
      <c r="B51" s="57" t="s">
        <v>981</v>
      </c>
      <c r="C51" s="57" t="s">
        <v>981</v>
      </c>
      <c r="D51" s="58" t="s">
        <v>982</v>
      </c>
      <c r="E51" s="59" t="str">
        <f>HYPERLINK("https://www.google.com/search?q=site%3Am.assetplus.in%20%22bajaj%20allianz%20life%22&amp;num=100","🔍 Search Google")</f>
        <v>🔍 Search Google</v>
      </c>
    </row>
    <row r="52">
      <c r="A52" s="52">
        <v>51.0</v>
      </c>
      <c r="B52" s="53" t="s">
        <v>983</v>
      </c>
      <c r="C52" s="53" t="s">
        <v>983</v>
      </c>
      <c r="D52" s="54" t="s">
        <v>984</v>
      </c>
      <c r="E52" s="55" t="str">
        <f>HYPERLINK("https://www.google.com/search?q=site%3Ahealthysure.in%20%22bajaj%20allianz%20life%22&amp;num=100","🔍 Search Google")</f>
        <v>🔍 Search Google</v>
      </c>
    </row>
    <row r="53">
      <c r="A53" s="56">
        <v>52.0</v>
      </c>
      <c r="B53" s="57" t="s">
        <v>985</v>
      </c>
      <c r="C53" s="57" t="s">
        <v>985</v>
      </c>
      <c r="D53" s="58" t="s">
        <v>986</v>
      </c>
      <c r="E53" s="59" t="str">
        <f>HYPERLINK("https://www.google.com/search?q=site%3Asecurus.in%20%22bajaj%20allianz%20life%22&amp;num=100","🔍 Search Google")</f>
        <v>🔍 Search Google</v>
      </c>
    </row>
    <row r="54">
      <c r="A54" s="52">
        <v>53.0</v>
      </c>
      <c r="B54" s="53" t="s">
        <v>987</v>
      </c>
      <c r="C54" s="53" t="s">
        <v>987</v>
      </c>
      <c r="D54" s="54" t="s">
        <v>988</v>
      </c>
      <c r="E54" s="55" t="str">
        <f>HYPERLINK("https://www.google.com/search?q=site%3Aethika.co.in%20%22bajaj%20allianz%20life%22&amp;num=100","🔍 Search Google")</f>
        <v>🔍 Search Google</v>
      </c>
    </row>
    <row r="55">
      <c r="A55" s="56">
        <v>54.0</v>
      </c>
      <c r="B55" s="57" t="s">
        <v>989</v>
      </c>
      <c r="C55" s="57" t="s">
        <v>989</v>
      </c>
      <c r="D55" s="58" t="s">
        <v>990</v>
      </c>
      <c r="E55" s="59" t="str">
        <f>HYPERLINK("https://www.google.com/search?q=site%3Aperaj.com%20%22bajaj%20allianz%20life%22&amp;num=100","🔍 Search Google")</f>
        <v>🔍 Search Google</v>
      </c>
    </row>
    <row r="56">
      <c r="A56" s="52">
        <v>55.0</v>
      </c>
      <c r="B56" s="53" t="s">
        <v>991</v>
      </c>
      <c r="C56" s="53" t="s">
        <v>991</v>
      </c>
      <c r="D56" s="54" t="s">
        <v>992</v>
      </c>
      <c r="E56" s="55" t="str">
        <f>HYPERLINK("https://www.google.com/search?q=site%3Abharatbhushaninsurance.com%20%22bajaj%20allianz%20life%22&amp;num=100","🔍 Search Google")</f>
        <v>🔍 Search Google</v>
      </c>
    </row>
    <row r="57">
      <c r="A57" s="56">
        <v>56.0</v>
      </c>
      <c r="B57" s="57" t="s">
        <v>993</v>
      </c>
      <c r="C57" s="57" t="s">
        <v>993</v>
      </c>
      <c r="D57" s="58" t="s">
        <v>994</v>
      </c>
      <c r="E57" s="59" t="str">
        <f>HYPERLINK("https://www.google.com/search?q=site%3Apolicyera.com%20%22bajaj%20allianz%20life%22&amp;num=100","🔍 Search Google")</f>
        <v>🔍 Search Google</v>
      </c>
    </row>
    <row r="58">
      <c r="A58" s="52">
        <v>57.0</v>
      </c>
      <c r="B58" s="53" t="s">
        <v>995</v>
      </c>
      <c r="C58" s="53" t="s">
        <v>995</v>
      </c>
      <c r="D58" s="54" t="s">
        <v>996</v>
      </c>
      <c r="E58" s="55" t="str">
        <f>HYPERLINK("https://www.google.com/search?q=site%3Aaceinsuranceindia.com%20%22bajaj%20allianz%20life%22&amp;num=100","🔍 Search Google")</f>
        <v>🔍 Search Google</v>
      </c>
    </row>
    <row r="59">
      <c r="A59" s="56">
        <v>58.0</v>
      </c>
      <c r="B59" s="57" t="s">
        <v>997</v>
      </c>
      <c r="C59" s="57" t="s">
        <v>997</v>
      </c>
      <c r="D59" s="58" t="s">
        <v>998</v>
      </c>
      <c r="E59" s="59" t="str">
        <f>HYPERLINK("https://www.google.com/search?q=site%3Aedifybrokers.com%20%22bajaj%20allianz%20life%22&amp;num=100","🔍 Search Google")</f>
        <v>🔍 Search Google</v>
      </c>
    </row>
    <row r="60">
      <c r="A60" s="52">
        <v>59.0</v>
      </c>
      <c r="B60" s="53" t="s">
        <v>999</v>
      </c>
      <c r="C60" s="53" t="s">
        <v>999</v>
      </c>
      <c r="D60" s="54" t="s">
        <v>1000</v>
      </c>
      <c r="E60" s="55" t="str">
        <f>HYPERLINK("https://www.google.com/search?q=site%3Acentrum.co.in%20%22bajaj%20allianz%20life%22&amp;num=100","🔍 Search Google")</f>
        <v>🔍 Search Google</v>
      </c>
    </row>
    <row r="61">
      <c r="A61" s="56">
        <v>60.0</v>
      </c>
      <c r="B61" s="57" t="s">
        <v>1001</v>
      </c>
      <c r="C61" s="57" t="s">
        <v>1001</v>
      </c>
      <c r="D61" s="58" t="s">
        <v>1002</v>
      </c>
      <c r="E61" s="59" t="str">
        <f>HYPERLINK("https://www.google.com/search?q=site%3Acmsinsurancebrokers.com%20%22bajaj%20allianz%20life%22&amp;num=100","🔍 Search Google")</f>
        <v>🔍 Search Google</v>
      </c>
    </row>
    <row r="62">
      <c r="A62" s="52">
        <v>61.0</v>
      </c>
      <c r="B62" s="53" t="s">
        <v>1003</v>
      </c>
      <c r="C62" s="53" t="s">
        <v>1003</v>
      </c>
      <c r="D62" s="54" t="s">
        <v>1004</v>
      </c>
      <c r="E62" s="55" t="str">
        <f>HYPERLINK("https://www.google.com/search?q=site%3Asixthsenseinsurance.com%20%22bajaj%20allianz%20life%22&amp;num=100","🔍 Search Google")</f>
        <v>🔍 Search Google</v>
      </c>
    </row>
    <row r="63">
      <c r="A63" s="56">
        <v>62.0</v>
      </c>
      <c r="B63" s="57" t="s">
        <v>1005</v>
      </c>
      <c r="C63" s="57" t="s">
        <v>1005</v>
      </c>
      <c r="D63" s="58" t="s">
        <v>1006</v>
      </c>
      <c r="E63" s="59" t="str">
        <f>HYPERLINK("https://www.google.com/search?q=site%3Abimapunj.com%20%22bajaj%20allianz%20life%22&amp;num=100","🔍 Search Google")</f>
        <v>🔍 Search Google</v>
      </c>
    </row>
    <row r="64">
      <c r="A64" s="52">
        <v>63.0</v>
      </c>
      <c r="B64" s="53" t="s">
        <v>1007</v>
      </c>
      <c r="C64" s="53" t="s">
        <v>1007</v>
      </c>
      <c r="D64" s="54" t="s">
        <v>1008</v>
      </c>
      <c r="E64" s="55" t="str">
        <f>HYPERLINK("https://www.google.com/search?q=site%3Aadvancelifeinsurance.in%20%22bajaj%20allianz%20life%22&amp;num=100","🔍 Search Google")</f>
        <v>🔍 Search Google</v>
      </c>
    </row>
    <row r="65">
      <c r="A65" s="56">
        <v>64.0</v>
      </c>
      <c r="B65" s="57" t="s">
        <v>1009</v>
      </c>
      <c r="C65" s="57" t="s">
        <v>1009</v>
      </c>
      <c r="D65" s="58" t="s">
        <v>1010</v>
      </c>
      <c r="E65" s="59" t="str">
        <f>HYPERLINK("https://www.google.com/search?q=site%3Atatacapital.com%20%22bajaj%20allianz%20life%22&amp;num=100","🔍 Search Google")</f>
        <v>🔍 Search Google</v>
      </c>
    </row>
    <row r="66">
      <c r="A66" s="52">
        <v>65.0</v>
      </c>
      <c r="B66" s="53" t="s">
        <v>1011</v>
      </c>
      <c r="C66" s="53" t="s">
        <v>1011</v>
      </c>
      <c r="D66" s="54" t="s">
        <v>1012</v>
      </c>
      <c r="E66" s="55" t="str">
        <f>HYPERLINK("https://www.google.com/search?q=site%3Afinnovate.in%20%22bajaj%20allianz%20life%22&amp;num=100","🔍 Search Google")</f>
        <v>🔍 Search Google</v>
      </c>
    </row>
    <row r="67">
      <c r="A67" s="56">
        <v>66.0</v>
      </c>
      <c r="B67" s="57" t="s">
        <v>1013</v>
      </c>
      <c r="C67" s="57" t="s">
        <v>1013</v>
      </c>
      <c r="D67" s="58" t="s">
        <v>1014</v>
      </c>
      <c r="E67" s="59" t="str">
        <f>HYPERLINK("https://www.google.com/search?q=site%3Ajoinditto.in%20%22bajaj%20allianz%20life%22&amp;num=100","🔍 Search Google")</f>
        <v>🔍 Search Google</v>
      </c>
    </row>
    <row r="68">
      <c r="A68" s="52">
        <v>67.0</v>
      </c>
      <c r="B68" s="53" t="s">
        <v>1015</v>
      </c>
      <c r="C68" s="53" t="s">
        <v>1015</v>
      </c>
      <c r="D68" s="54" t="s">
        <v>1016</v>
      </c>
      <c r="E68" s="55" t="str">
        <f>HYPERLINK("https://www.google.com/search?q=site%3Apalminsurance.in%20%22bajaj%20allianz%20life%22&amp;num=100","🔍 Search Google")</f>
        <v>🔍 Search Google</v>
      </c>
    </row>
    <row r="69">
      <c r="A69" s="56">
        <v>68.0</v>
      </c>
      <c r="B69" s="57" t="s">
        <v>1017</v>
      </c>
      <c r="C69" s="57" t="s">
        <v>1017</v>
      </c>
      <c r="D69" s="58" t="s">
        <v>1018</v>
      </c>
      <c r="E69" s="59" t="str">
        <f>HYPERLINK("https://www.google.com/search?q=site%3Apazcare.com%20%22bajaj%20allianz%20life%22&amp;num=100","🔍 Search Google")</f>
        <v>🔍 Search Google</v>
      </c>
    </row>
    <row r="70">
      <c r="A70" s="52">
        <v>69.0</v>
      </c>
      <c r="B70" s="53" t="s">
        <v>1019</v>
      </c>
      <c r="C70" s="53" t="s">
        <v>1019</v>
      </c>
      <c r="D70" s="54" t="s">
        <v>1020</v>
      </c>
      <c r="E70" s="55" t="str">
        <f>HYPERLINK("https://www.google.com/search?q=site%3Aoneassure.in%20%22bajaj%20allianz%20life%22&amp;num=100","🔍 Search Google")</f>
        <v>🔍 Search Google</v>
      </c>
    </row>
    <row r="71">
      <c r="A71" s="56">
        <v>70.0</v>
      </c>
      <c r="B71" s="57" t="s">
        <v>1021</v>
      </c>
      <c r="C71" s="57" t="s">
        <v>1021</v>
      </c>
      <c r="D71" s="58" t="s">
        <v>1022</v>
      </c>
      <c r="E71" s="59" t="str">
        <f>HYPERLINK("https://www.google.com/search?q=site%3Aindusind.bank.in%20%22bajaj%20allianz%20life%22&amp;num=100","🔍 Search Google")</f>
        <v>🔍 Search Google</v>
      </c>
    </row>
    <row r="72">
      <c r="A72" s="52">
        <v>71.0</v>
      </c>
      <c r="B72" s="53" t="s">
        <v>1023</v>
      </c>
      <c r="C72" s="53" t="s">
        <v>1023</v>
      </c>
      <c r="D72" s="54" t="s">
        <v>1024</v>
      </c>
      <c r="E72" s="55" t="str">
        <f>HYPERLINK("https://www.google.com/search?q=site%3Aeasyhomefinance.in%20%22bajaj%20allianz%20life%22&amp;num=100","🔍 Search Google")</f>
        <v>🔍 Search Google</v>
      </c>
    </row>
    <row r="73">
      <c r="A73" s="56">
        <v>72.0</v>
      </c>
      <c r="B73" s="57" t="s">
        <v>1025</v>
      </c>
      <c r="C73" s="57" t="s">
        <v>1025</v>
      </c>
      <c r="D73" s="58" t="s">
        <v>1026</v>
      </c>
      <c r="E73" s="59" t="str">
        <f>HYPERLINK("https://www.google.com/search?q=site%3Akarnatakabank.bank.in%20%22bajaj%20allianz%20life%22&amp;num=100","🔍 Search Google")</f>
        <v>🔍 Search Google</v>
      </c>
    </row>
    <row r="74">
      <c r="A74" s="52">
        <v>73.0</v>
      </c>
      <c r="B74" s="53" t="s">
        <v>1027</v>
      </c>
      <c r="C74" s="53" t="s">
        <v>1027</v>
      </c>
      <c r="D74" s="54" t="s">
        <v>1028</v>
      </c>
      <c r="E74" s="55" t="str">
        <f>HYPERLINK("https://www.google.com/search?q=site%3Agosreefinance.com%20%22bajaj%20allianz%20life%22&amp;num=100","🔍 Search Google")</f>
        <v>🔍 Search Google</v>
      </c>
    </row>
    <row r="75">
      <c r="A75" s="56">
        <v>74.0</v>
      </c>
      <c r="B75" s="57" t="s">
        <v>1029</v>
      </c>
      <c r="C75" s="57" t="s">
        <v>1029</v>
      </c>
      <c r="D75" s="58" t="s">
        <v>1030</v>
      </c>
      <c r="E75" s="59" t="str">
        <f>HYPERLINK("https://www.google.com/search?q=site%3Aakshayawealth.com%20%22bajaj%20allianz%20life%22&amp;num=100","🔍 Search Google")</f>
        <v>🔍 Search Google</v>
      </c>
    </row>
    <row r="76">
      <c r="A76" s="52">
        <v>75.0</v>
      </c>
      <c r="B76" s="53" t="s">
        <v>1031</v>
      </c>
      <c r="C76" s="53" t="s">
        <v>1031</v>
      </c>
      <c r="D76" s="54" t="s">
        <v>1032</v>
      </c>
      <c r="E76" s="55" t="str">
        <f>HYPERLINK("https://www.google.com/search?q=site%3Admtkendra.com%20%22bajaj%20allianz%20life%22&amp;num=100","🔍 Search Google")</f>
        <v>🔍 Search Google</v>
      </c>
    </row>
    <row r="77">
      <c r="A77" s="56">
        <v>76.0</v>
      </c>
      <c r="B77" s="57" t="s">
        <v>1033</v>
      </c>
      <c r="C77" s="57" t="s">
        <v>1033</v>
      </c>
      <c r="D77" s="58" t="s">
        <v>1034</v>
      </c>
      <c r="E77" s="59" t="str">
        <f>HYPERLINK("https://www.google.com/search?q=site%3Arighthorizons.com%20%22bajaj%20allianz%20life%22&amp;num=100","🔍 Search Google")</f>
        <v>🔍 Search Google</v>
      </c>
    </row>
    <row r="78">
      <c r="A78" s="52">
        <v>77.0</v>
      </c>
      <c r="B78" s="53" t="s">
        <v>1035</v>
      </c>
      <c r="C78" s="53" t="s">
        <v>1035</v>
      </c>
      <c r="D78" s="54" t="s">
        <v>1036</v>
      </c>
      <c r="E78" s="55" t="str">
        <f>HYPERLINK("https://www.google.com/search?q=site%3Aaon.com%20%22bajaj%20allianz%20life%22&amp;num=100","🔍 Search Google")</f>
        <v>🔍 Search Google</v>
      </c>
    </row>
    <row r="79">
      <c r="A79" s="56">
        <v>78.0</v>
      </c>
      <c r="B79" s="57" t="s">
        <v>1037</v>
      </c>
      <c r="C79" s="57" t="s">
        <v>1037</v>
      </c>
      <c r="D79" s="58" t="s">
        <v>1038</v>
      </c>
      <c r="E79" s="59" t="str">
        <f>HYPERLINK("https://www.google.com/search?q=site%3Apmpib.com%20%22bajaj%20allianz%20life%22&amp;num=100","🔍 Search Google")</f>
        <v>🔍 Search Google</v>
      </c>
    </row>
    <row r="80">
      <c r="A80" s="52">
        <v>79.0</v>
      </c>
      <c r="B80" s="53" t="s">
        <v>1039</v>
      </c>
      <c r="C80" s="53" t="s">
        <v>1039</v>
      </c>
      <c r="D80" s="54" t="s">
        <v>1040</v>
      </c>
      <c r="E80" s="55" t="str">
        <f>HYPERLINK("https://www.google.com/search?q=site%3Apeerless.co.in%20%22bajaj%20allianz%20life%22&amp;num=100","🔍 Search Google")</f>
        <v>🔍 Search Google</v>
      </c>
    </row>
    <row r="81">
      <c r="A81" s="56">
        <v>80.0</v>
      </c>
      <c r="B81" s="57" t="s">
        <v>1041</v>
      </c>
      <c r="C81" s="57" t="s">
        <v>1041</v>
      </c>
      <c r="D81" s="58" t="s">
        <v>1042</v>
      </c>
      <c r="E81" s="59" t="str">
        <f>HYPERLINK("https://www.google.com/search?q=site%3Asarvagram.com%20%22bajaj%20allianz%20life%22&amp;num=100","🔍 Search Google")</f>
        <v>🔍 Search Google</v>
      </c>
    </row>
    <row r="82">
      <c r="A82" s="52">
        <v>81.0</v>
      </c>
      <c r="B82" s="53" t="s">
        <v>1043</v>
      </c>
      <c r="C82" s="53" t="s">
        <v>1043</v>
      </c>
      <c r="D82" s="54" t="s">
        <v>1044</v>
      </c>
      <c r="E82" s="55" t="str">
        <f>HYPERLINK("https://www.google.com/search?q=site%3Acoversure.in%20%22bajaj%20allianz%20life%22&amp;num=100","🔍 Search Google")</f>
        <v>🔍 Search Google</v>
      </c>
    </row>
    <row r="83">
      <c r="A83" s="56">
        <v>82.0</v>
      </c>
      <c r="B83" s="57" t="s">
        <v>1045</v>
      </c>
      <c r="C83" s="57" t="s">
        <v>1045</v>
      </c>
      <c r="D83" s="58" t="s">
        <v>1046</v>
      </c>
      <c r="E83" s="59" t="str">
        <f>HYPERLINK("https://www.google.com/search?q=site%3Abajajhousingfinance.in%20%22bajaj%20allianz%20life%22&amp;num=100","🔍 Search Google")</f>
        <v>🔍 Search Google</v>
      </c>
    </row>
    <row r="84">
      <c r="A84" s="52">
        <v>83.0</v>
      </c>
      <c r="B84" s="53" t="s">
        <v>1047</v>
      </c>
      <c r="C84" s="53" t="s">
        <v>1047</v>
      </c>
      <c r="D84" s="54" t="s">
        <v>1048</v>
      </c>
      <c r="E84" s="55" t="str">
        <f>HYPERLINK("https://www.google.com/search?q=site%3Arioninsura.com%20%22bajaj%20allianz%20life%22&amp;num=100","🔍 Search Google")</f>
        <v>🔍 Search Google</v>
      </c>
    </row>
    <row r="85">
      <c r="A85" s="56">
        <v>84.0</v>
      </c>
      <c r="B85" s="57" t="s">
        <v>1049</v>
      </c>
      <c r="C85" s="57" t="s">
        <v>1049</v>
      </c>
      <c r="D85" s="58" t="s">
        <v>1050</v>
      </c>
      <c r="E85" s="59" t="str">
        <f>HYPERLINK("https://www.google.com/search?q=site%3Ahudsoninsgroup.com%20%22bajaj%20allianz%20life%22&amp;num=100","🔍 Search Google")</f>
        <v>🔍 Search Google</v>
      </c>
    </row>
    <row r="86">
      <c r="A86" s="52">
        <v>85.0</v>
      </c>
      <c r="B86" s="53" t="s">
        <v>1051</v>
      </c>
      <c r="C86" s="53" t="s">
        <v>1051</v>
      </c>
      <c r="D86" s="54" t="s">
        <v>1052</v>
      </c>
      <c r="E86" s="55" t="str">
        <f>HYPERLINK("https://www.google.com/search?q=site%3Aunilight.in%20%22bajaj%20allianz%20life%22&amp;num=100","🔍 Search Google")</f>
        <v>🔍 Search Google</v>
      </c>
    </row>
    <row r="87">
      <c r="A87" s="56">
        <v>86.0</v>
      </c>
      <c r="B87" s="57" t="s">
        <v>1009</v>
      </c>
      <c r="C87" s="57" t="s">
        <v>1009</v>
      </c>
      <c r="D87" s="58" t="s">
        <v>1010</v>
      </c>
      <c r="E87" s="59" t="str">
        <f>HYPERLINK("https://www.google.com/search?q=site%3Atatacapital.com%20%22bajaj%20allianz%20life%22&amp;num=100","🔍 Search Google")</f>
        <v>🔍 Search Google</v>
      </c>
    </row>
    <row r="88">
      <c r="A88" s="52">
        <v>87.0</v>
      </c>
      <c r="B88" s="53" t="s">
        <v>1053</v>
      </c>
      <c r="C88" s="53" t="s">
        <v>1053</v>
      </c>
      <c r="D88" s="54" t="s">
        <v>1054</v>
      </c>
      <c r="E88" s="55" t="str">
        <f>HYPERLINK("https://www.google.com/search?q=site%3Aprudentcorporate.com%20%22bajaj%20allianz%20life%22&amp;num=100","🔍 Search Google")</f>
        <v>🔍 Search Google</v>
      </c>
    </row>
    <row r="89">
      <c r="A89" s="56">
        <v>88.0</v>
      </c>
      <c r="B89" s="57" t="s">
        <v>1055</v>
      </c>
      <c r="C89" s="57" t="s">
        <v>1055</v>
      </c>
      <c r="D89" s="58" t="s">
        <v>1056</v>
      </c>
      <c r="E89" s="59" t="str">
        <f>HYPERLINK("https://www.google.com/search?q=site%3Aapurban.com%20%22bajaj%20allianz%20life%22&amp;num=100","🔍 Search Google")</f>
        <v>🔍 Search Google</v>
      </c>
    </row>
    <row r="90">
      <c r="A90" s="52">
        <v>89.0</v>
      </c>
      <c r="B90" s="53" t="s">
        <v>1057</v>
      </c>
      <c r="C90" s="53" t="s">
        <v>1057</v>
      </c>
      <c r="D90" s="54" t="s">
        <v>1058</v>
      </c>
      <c r="E90" s="55" t="str">
        <f>HYPERLINK("https://www.google.com/search?q=site%3Asecurenow.in%20%22bajaj%20allianz%20life%22&amp;num=100","🔍 Search Google")</f>
        <v>🔍 Search Google</v>
      </c>
    </row>
    <row r="91">
      <c r="A91" s="56">
        <v>90.0</v>
      </c>
      <c r="B91" s="57" t="s">
        <v>1059</v>
      </c>
      <c r="C91" s="57" t="s">
        <v>1059</v>
      </c>
      <c r="D91" s="58" t="s">
        <v>1060</v>
      </c>
      <c r="E91" s="59" t="str">
        <f>HYPERLINK("https://www.google.com/search?q=site%3Aanticinsurance.in%20%22bajaj%20allianz%20life%22&amp;num=100","🔍 Search Google")</f>
        <v>🔍 Search Google</v>
      </c>
    </row>
    <row r="92">
      <c r="A92" s="52">
        <v>91.0</v>
      </c>
      <c r="B92" s="53" t="s">
        <v>1061</v>
      </c>
      <c r="C92" s="53" t="s">
        <v>1061</v>
      </c>
      <c r="D92" s="54" t="s">
        <v>1062</v>
      </c>
      <c r="E92" s="55" t="str">
        <f>HYPERLINK("https://www.google.com/search?q=site%3Akwasaninsurance.com%20%22bajaj%20allianz%20life%22&amp;num=100","🔍 Search Google")</f>
        <v>🔍 Search Google</v>
      </c>
    </row>
    <row r="93">
      <c r="A93" s="56">
        <v>92.0</v>
      </c>
      <c r="B93" s="57" t="s">
        <v>1063</v>
      </c>
      <c r="C93" s="57" t="s">
        <v>1063</v>
      </c>
      <c r="D93" s="58" t="s">
        <v>1064</v>
      </c>
      <c r="E93" s="59" t="str">
        <f>HYPERLINK("https://www.google.com/search?q=site%3Altfinance.com%20%22bajaj%20allianz%20life%22&amp;num=100","🔍 Search Google")</f>
        <v>🔍 Search Google</v>
      </c>
    </row>
    <row r="94">
      <c r="A94" s="52">
        <v>93.0</v>
      </c>
      <c r="B94" s="53" t="s">
        <v>1065</v>
      </c>
      <c r="C94" s="53" t="s">
        <v>1065</v>
      </c>
      <c r="D94" s="54" t="s">
        <v>1066</v>
      </c>
      <c r="E94" s="55" t="str">
        <f>HYPERLINK("https://www.google.com/search?q=site%3Athukralcapital.com%20%22bajaj%20allianz%20life%22&amp;num=100","🔍 Search Google")</f>
        <v>🔍 Search Google</v>
      </c>
    </row>
    <row r="95">
      <c r="A95" s="56">
        <v>94.0</v>
      </c>
      <c r="B95" s="57" t="s">
        <v>1067</v>
      </c>
      <c r="C95" s="57" t="s">
        <v>1067</v>
      </c>
      <c r="D95" s="58" t="s">
        <v>1068</v>
      </c>
      <c r="E95" s="59" t="str">
        <f>HYPERLINK("https://www.google.com/search?q=site%3Abajajfinserv.in%20%22bajaj%20allianz%20life%22&amp;num=100","🔍 Search Google")</f>
        <v>🔍 Search Google</v>
      </c>
    </row>
    <row r="96">
      <c r="A96" s="52">
        <v>95.0</v>
      </c>
      <c r="B96" s="53" t="s">
        <v>1069</v>
      </c>
      <c r="C96" s="53" t="s">
        <v>1069</v>
      </c>
      <c r="D96" s="54" t="s">
        <v>1070</v>
      </c>
      <c r="E96" s="55" t="str">
        <f>HYPERLINK("https://www.google.com/search?q=site%3Adhanbank.com%20%22bajaj%20allianz%20life%22&amp;num=100","🔍 Search Google")</f>
        <v>🔍 Search Google</v>
      </c>
    </row>
    <row r="97">
      <c r="A97" s="56">
        <v>96.0</v>
      </c>
      <c r="B97" s="57" t="s">
        <v>1071</v>
      </c>
      <c r="C97" s="57" t="s">
        <v>1071</v>
      </c>
      <c r="D97" s="58" t="s">
        <v>1072</v>
      </c>
      <c r="E97" s="59" t="str">
        <f>HYPERLINK("https://www.google.com/search?q=site%3Asvc.bank.in%20%22bajaj%20allianz%20life%22&amp;num=100","🔍 Search Google")</f>
        <v>🔍 Search Google</v>
      </c>
    </row>
    <row r="98">
      <c r="A98" s="52">
        <v>97.0</v>
      </c>
      <c r="B98" s="53" t="s">
        <v>1073</v>
      </c>
      <c r="C98" s="53" t="s">
        <v>1073</v>
      </c>
      <c r="D98" s="54" t="s">
        <v>1074</v>
      </c>
      <c r="E98" s="55" t="str">
        <f>HYPERLINK("https://www.google.com/search?q=site%3Ajana.bank.in%20%22bajaj%20allianz%20life%22&amp;num=100","🔍 Search Google")</f>
        <v>🔍 Search Google</v>
      </c>
    </row>
    <row r="99">
      <c r="A99" s="56">
        <v>98.0</v>
      </c>
      <c r="B99" s="57" t="s">
        <v>1075</v>
      </c>
      <c r="C99" s="57" t="s">
        <v>1075</v>
      </c>
      <c r="D99" s="58" t="s">
        <v>1076</v>
      </c>
      <c r="E99" s="59" t="str">
        <f>HYPERLINK("https://www.google.com/search?q=site%3Aesaf.bank.in%20%22bajaj%20allianz%20life%22&amp;num=100","🔍 Search Google")</f>
        <v>🔍 Search Google</v>
      </c>
    </row>
    <row r="100">
      <c r="A100" s="52">
        <v>99.0</v>
      </c>
      <c r="B100" s="53" t="s">
        <v>1077</v>
      </c>
      <c r="C100" s="53" t="s">
        <v>1077</v>
      </c>
      <c r="D100" s="54" t="s">
        <v>1078</v>
      </c>
      <c r="E100" s="55" t="str">
        <f>HYPERLINK("https://www.google.com/search?q=site%3Ashivalik.bank.in%20%22bajaj%20allianz%20life%22&amp;num=100","🔍 Search Google")</f>
        <v>🔍 Search Google</v>
      </c>
    </row>
    <row r="101">
      <c r="A101" s="56">
        <v>100.0</v>
      </c>
      <c r="B101" s="57" t="s">
        <v>1079</v>
      </c>
      <c r="C101" s="57" t="s">
        <v>1079</v>
      </c>
      <c r="D101" s="58" t="s">
        <v>1080</v>
      </c>
      <c r="E101" s="59" t="str">
        <f>HYPERLINK("https://www.google.com/search?q=site%3Aau.bank.in%20%22bajaj%20allianz%20life%22&amp;num=100","🔍 Search Google")</f>
        <v>🔍 Search Google</v>
      </c>
    </row>
    <row r="102">
      <c r="A102" s="52">
        <v>101.0</v>
      </c>
      <c r="B102" s="53" t="s">
        <v>1081</v>
      </c>
      <c r="C102" s="53" t="s">
        <v>1081</v>
      </c>
      <c r="D102" s="54" t="s">
        <v>1082</v>
      </c>
      <c r="E102" s="55" t="str">
        <f>HYPERLINK("https://www.google.com/search?q=site%3Asouthindianbank.bank.in%20%22bajaj%20allianz%20life%22&amp;num=100","🔍 Search Google")</f>
        <v>🔍 Search Google</v>
      </c>
    </row>
    <row r="103">
      <c r="A103" s="56">
        <v>102.0</v>
      </c>
      <c r="B103" s="57" t="s">
        <v>1083</v>
      </c>
      <c r="C103" s="57" t="s">
        <v>1083</v>
      </c>
      <c r="D103" s="58" t="s">
        <v>1084</v>
      </c>
      <c r="E103" s="59" t="str">
        <f>HYPERLINK("https://www.google.com/search?q=site%3Afederal.bank.in%20%22bajaj%20allianz%20life%22&amp;num=100","🔍 Search Google")</f>
        <v>🔍 Search Google</v>
      </c>
    </row>
    <row r="104">
      <c r="A104" s="52">
        <v>103.0</v>
      </c>
      <c r="B104" s="53" t="s">
        <v>1085</v>
      </c>
      <c r="C104" s="53" t="s">
        <v>1085</v>
      </c>
      <c r="D104" s="54" t="s">
        <v>1086</v>
      </c>
      <c r="E104" s="55" t="str">
        <f>HYPERLINK("https://www.google.com/search?q=site%3Aujjivansfb.bank.in%20%22bajaj%20allianz%20life%22&amp;num=100","🔍 Search Google")</f>
        <v>🔍 Search Google</v>
      </c>
    </row>
    <row r="105">
      <c r="A105" s="56">
        <v>104.0</v>
      </c>
      <c r="B105" s="57" t="s">
        <v>1087</v>
      </c>
      <c r="C105" s="57" t="s">
        <v>1087</v>
      </c>
      <c r="D105" s="58" t="s">
        <v>1088</v>
      </c>
      <c r="E105" s="59" t="str">
        <f>HYPERLINK("https://www.google.com/search?q=site%3Ankgsb-bank.com%20%22bajaj%20allianz%20life%22&amp;num=100","🔍 Search Google")</f>
        <v>🔍 Search Google</v>
      </c>
    </row>
    <row r="106">
      <c r="A106" s="52">
        <v>105.0</v>
      </c>
      <c r="B106" s="53" t="s">
        <v>1089</v>
      </c>
      <c r="C106" s="53" t="s">
        <v>1089</v>
      </c>
      <c r="D106" s="54" t="s">
        <v>1090</v>
      </c>
      <c r="E106" s="55" t="str">
        <f>HYPERLINK("https://www.google.com/search?q=site%3Afamilyraksha.com%20%22bajaj%20allianz%20life%22&amp;num=100","🔍 Search Google")</f>
        <v>🔍 Search Google</v>
      </c>
    </row>
    <row r="107">
      <c r="A107" s="56">
        <v>106.0</v>
      </c>
      <c r="B107" s="57" t="s">
        <v>1091</v>
      </c>
      <c r="C107" s="57" t="s">
        <v>1091</v>
      </c>
      <c r="D107" s="58" t="s">
        <v>1092</v>
      </c>
      <c r="E107" s="59" t="str">
        <f>HYPERLINK("https://www.google.com/search?q=site%3Anavnitinsurance.com%20%22bajaj%20allianz%20life%22&amp;num=100","🔍 Search Google")</f>
        <v>🔍 Search Google</v>
      </c>
    </row>
    <row r="108">
      <c r="A108" s="52">
        <v>107.0</v>
      </c>
      <c r="B108" s="53" t="s">
        <v>1093</v>
      </c>
      <c r="C108" s="53" t="s">
        <v>1093</v>
      </c>
      <c r="D108" s="54" t="s">
        <v>1094</v>
      </c>
      <c r="E108" s="55" t="str">
        <f>HYPERLINK("https://www.google.com/search?q=site%3Abimavima.com%20%22bajaj%20allianz%20life%22&amp;num=100","🔍 Search Google")</f>
        <v>🔍 Search Google</v>
      </c>
    </row>
    <row r="109">
      <c r="A109" s="56">
        <v>108.0</v>
      </c>
      <c r="B109" s="57" t="s">
        <v>1095</v>
      </c>
      <c r="C109" s="57" t="s">
        <v>1095</v>
      </c>
      <c r="D109" s="58" t="s">
        <v>1096</v>
      </c>
      <c r="E109" s="59" t="str">
        <f>HYPERLINK("https://www.google.com/search?q=site%3Afortunefive.in%20%22bajaj%20allianz%20life%22&amp;num=100","🔍 Search Google")</f>
        <v>🔍 Search Google</v>
      </c>
    </row>
    <row r="110">
      <c r="A110" s="52">
        <v>109.0</v>
      </c>
      <c r="B110" s="53" t="s">
        <v>1097</v>
      </c>
      <c r="C110" s="53" t="s">
        <v>1097</v>
      </c>
      <c r="D110" s="54" t="s">
        <v>1098</v>
      </c>
      <c r="E110" s="55" t="str">
        <f>HYPERLINK("https://www.google.com/search?q=site%3Agoinsureindia.com%20%22bajaj%20allianz%20life%22&amp;num=100","🔍 Search Google")</f>
        <v>🔍 Search Google</v>
      </c>
    </row>
    <row r="111">
      <c r="A111" s="56">
        <v>110.0</v>
      </c>
      <c r="B111" s="57" t="s">
        <v>1099</v>
      </c>
      <c r="C111" s="57" t="s">
        <v>1099</v>
      </c>
      <c r="D111" s="58" t="s">
        <v>1100</v>
      </c>
      <c r="E111" s="59" t="str">
        <f>HYPERLINK("https://www.google.com/search?q=site%3Abeema1.com%20%22bajaj%20allianz%20life%22&amp;num=100","🔍 Search Google")</f>
        <v>🔍 Search Google</v>
      </c>
    </row>
    <row r="112">
      <c r="A112" s="52">
        <v>111.0</v>
      </c>
      <c r="B112" s="53" t="s">
        <v>1101</v>
      </c>
      <c r="C112" s="53" t="s">
        <v>1101</v>
      </c>
      <c r="D112" s="54" t="s">
        <v>1102</v>
      </c>
      <c r="E112" s="55" t="str">
        <f>HYPERLINK("https://www.google.com/search?q=site%3Aneoinsurance.co.in%20%22bajaj%20allianz%20life%22&amp;num=100","🔍 Search Google")</f>
        <v>🔍 Search Google</v>
      </c>
    </row>
    <row r="113">
      <c r="A113" s="56">
        <v>112.0</v>
      </c>
      <c r="B113" s="57" t="s">
        <v>1103</v>
      </c>
      <c r="C113" s="57" t="s">
        <v>1103</v>
      </c>
      <c r="D113" s="58" t="s">
        <v>1104</v>
      </c>
      <c r="E113" s="59" t="str">
        <f>HYPERLINK("https://www.google.com/search?q=site%3Aiiflhomeloans.com%20%22bajaj%20allianz%20life%22&amp;num=100","🔍 Search Google")</f>
        <v>🔍 Search Google</v>
      </c>
    </row>
    <row r="114">
      <c r="A114" s="52">
        <v>113.0</v>
      </c>
      <c r="B114" s="53" t="s">
        <v>1105</v>
      </c>
      <c r="C114" s="53" t="s">
        <v>1105</v>
      </c>
      <c r="D114" s="54" t="s">
        <v>1106</v>
      </c>
      <c r="E114" s="55" t="str">
        <f>HYPERLINK("https://www.google.com/search?q=site%3Aarohan.in%20%22bajaj%20allianz%20life%22&amp;num=100","🔍 Search Google")</f>
        <v>🔍 Search Google</v>
      </c>
    </row>
    <row r="115">
      <c r="A115" s="56">
        <v>114.0</v>
      </c>
      <c r="B115" s="57" t="s">
        <v>1107</v>
      </c>
      <c r="C115" s="57" t="s">
        <v>1107</v>
      </c>
      <c r="D115" s="58" t="s">
        <v>1108</v>
      </c>
      <c r="E115" s="59" t="str">
        <f>HYPERLINK("https://www.google.com/search?q=site%3Asuperpolicy.in%20%22bajaj%20allianz%20life%22&amp;num=100","🔍 Search Google")</f>
        <v>🔍 Search Google</v>
      </c>
    </row>
    <row r="116">
      <c r="A116" s="52">
        <v>115.0</v>
      </c>
      <c r="B116" s="53" t="s">
        <v>1109</v>
      </c>
      <c r="C116" s="53" t="s">
        <v>1109</v>
      </c>
      <c r="D116" s="54" t="s">
        <v>1110</v>
      </c>
      <c r="E116" s="55" t="str">
        <f>HYPERLINK("https://www.google.com/search?q=site%3Apibinsurance.in%20%22bajaj%20allianz%20life%22&amp;num=100","🔍 Search Google")</f>
        <v>🔍 Search Google</v>
      </c>
    </row>
    <row r="117">
      <c r="A117" s="56">
        <v>116.0</v>
      </c>
      <c r="B117" s="57" t="s">
        <v>1111</v>
      </c>
      <c r="C117" s="57" t="s">
        <v>1111</v>
      </c>
      <c r="D117" s="58" t="s">
        <v>1112</v>
      </c>
      <c r="E117" s="59" t="str">
        <f>HYPERLINK("https://www.google.com/search?q=site%3Abimamandi.in%20%22bajaj%20allianz%20life%22&amp;num=100","🔍 Search Google")</f>
        <v>🔍 Search Google</v>
      </c>
    </row>
    <row r="118">
      <c r="A118" s="52">
        <v>117.0</v>
      </c>
      <c r="B118" s="53" t="s">
        <v>1113</v>
      </c>
      <c r="C118" s="53" t="s">
        <v>1113</v>
      </c>
      <c r="D118" s="54" t="s">
        <v>1114</v>
      </c>
      <c r="E118" s="55" t="str">
        <f>HYPERLINK("https://www.google.com/search?q=site%3Abajajfinservdirect.in%20%22bajaj%20allianz%20life%22&amp;num=100","🔍 Search Google")</f>
        <v>🔍 Search Google</v>
      </c>
    </row>
    <row r="119">
      <c r="A119" s="56">
        <v>118.0</v>
      </c>
      <c r="B119" s="57" t="s">
        <v>1115</v>
      </c>
      <c r="C119" s="57" t="s">
        <v>1115</v>
      </c>
      <c r="D119" s="58" t="s">
        <v>1116</v>
      </c>
      <c r="E119" s="59" t="str">
        <f>HYPERLINK("https://www.google.com/search?q=site%3Achoiceindia.com%20%22bajaj%20allianz%20life%22&amp;num=100","🔍 Search Google")</f>
        <v>🔍 Search Google</v>
      </c>
    </row>
    <row r="120">
      <c r="A120" s="52">
        <v>119.0</v>
      </c>
      <c r="B120" s="53" t="s">
        <v>1117</v>
      </c>
      <c r="C120" s="53" t="s">
        <v>1117</v>
      </c>
      <c r="D120" s="54" t="s">
        <v>1118</v>
      </c>
      <c r="E120" s="55" t="str">
        <f>HYPERLINK("https://www.google.com/search?q=site%3Aedmeinsurance.com%20%22bajaj%20allianz%20life%22&amp;num=100","🔍 Search Google")</f>
        <v>🔍 Search Google</v>
      </c>
    </row>
    <row r="121">
      <c r="A121" s="56">
        <v>120.0</v>
      </c>
      <c r="B121" s="57" t="s">
        <v>1119</v>
      </c>
      <c r="C121" s="57" t="s">
        <v>1119</v>
      </c>
      <c r="D121" s="58" t="s">
        <v>1120</v>
      </c>
      <c r="E121" s="59" t="str">
        <f>HYPERLINK("https://www.google.com/search?q=site%3Aplumhq.com%20%22bajaj%20allianz%20life%22&amp;num=100","🔍 Search Google")</f>
        <v>🔍 Search Google</v>
      </c>
    </row>
    <row r="122">
      <c r="A122" s="52">
        <v>121.0</v>
      </c>
      <c r="B122" s="53" t="s">
        <v>1121</v>
      </c>
      <c r="C122" s="53" t="s">
        <v>1121</v>
      </c>
      <c r="D122" s="54" t="s">
        <v>1122</v>
      </c>
      <c r="E122" s="55" t="str">
        <f>HYPERLINK("https://www.google.com/search?q=site%3Asecureezy.com%20%22bajaj%20allianz%20life%22&amp;num=100","🔍 Search Google")</f>
        <v>🔍 Search Google</v>
      </c>
    </row>
    <row r="123">
      <c r="A123" s="56">
        <v>122.0</v>
      </c>
      <c r="B123" s="57" t="s">
        <v>1123</v>
      </c>
      <c r="C123" s="57" t="s">
        <v>1123</v>
      </c>
      <c r="D123" s="58" t="s">
        <v>1124</v>
      </c>
      <c r="E123" s="59" t="str">
        <f>HYPERLINK("https://www.google.com/search?q=site%3Atakemyinsurance.com%20%22bajaj%20allianz%20life%22&amp;num=100","🔍 Search Google")</f>
        <v>🔍 Search Google</v>
      </c>
    </row>
    <row r="124">
      <c r="A124" s="52">
        <v>123.0</v>
      </c>
      <c r="B124" s="53" t="s">
        <v>1125</v>
      </c>
      <c r="C124" s="53" t="s">
        <v>1125</v>
      </c>
      <c r="D124" s="54" t="s">
        <v>1126</v>
      </c>
      <c r="E124" s="55" t="str">
        <f>HYPERLINK("https://www.google.com/search?q=site%3Alifeandgeneral.com%20%22bajaj%20allianz%20life%22&amp;num=100","🔍 Search Google")</f>
        <v>🔍 Search Google</v>
      </c>
    </row>
    <row r="125">
      <c r="A125" s="56">
        <v>124.0</v>
      </c>
      <c r="B125" s="57" t="s">
        <v>1127</v>
      </c>
      <c r="C125" s="57" t="s">
        <v>1127</v>
      </c>
      <c r="D125" s="58" t="s">
        <v>1128</v>
      </c>
      <c r="E125" s="59" t="str">
        <f>HYPERLINK("https://www.google.com/search?q=site%3Amuthootmicrofin.com%20%22bajaj%20allianz%20life%22&amp;num=100","🔍 Search Google")</f>
        <v>🔍 Search Google</v>
      </c>
    </row>
    <row r="126">
      <c r="A126" s="52">
        <v>125.0</v>
      </c>
      <c r="B126" s="53" t="s">
        <v>1129</v>
      </c>
      <c r="C126" s="53" t="s">
        <v>1129</v>
      </c>
      <c r="D126" s="54" t="s">
        <v>1130</v>
      </c>
      <c r="E126" s="55" t="str">
        <f>HYPERLINK("https://www.google.com/search?q=site%3Akmdastur.com%20%22bajaj%20allianz%20life%22&amp;num=100","🔍 Search Google")</f>
        <v>🔍 Search Google</v>
      </c>
    </row>
    <row r="127">
      <c r="A127" s="56">
        <v>126.0</v>
      </c>
      <c r="B127" s="57" t="s">
        <v>1131</v>
      </c>
      <c r="C127" s="57" t="s">
        <v>1131</v>
      </c>
      <c r="D127" s="58" t="s">
        <v>1132</v>
      </c>
      <c r="E127" s="59" t="str">
        <f>HYPERLINK("https://www.google.com/search?q=site%3Aaapkapolicywala.com%20%22bajaj%20allianz%20life%22&amp;num=100","🔍 Search Google")</f>
        <v>🔍 Search Google</v>
      </c>
    </row>
    <row r="128">
      <c r="A128" s="52">
        <v>127.0</v>
      </c>
      <c r="B128" s="53" t="s">
        <v>1133</v>
      </c>
      <c r="C128" s="53" t="s">
        <v>1133</v>
      </c>
      <c r="D128" s="54" t="s">
        <v>1134</v>
      </c>
      <c r="E128" s="55" t="str">
        <f>HYPERLINK("https://www.google.com/search?q=site%3Acapriglobal.in%20%22bajaj%20allianz%20life%22&amp;num=100","🔍 Search Google")</f>
        <v>🔍 Search Google</v>
      </c>
    </row>
    <row r="129">
      <c r="A129" s="56">
        <v>128.0</v>
      </c>
      <c r="B129" s="57" t="s">
        <v>1135</v>
      </c>
      <c r="C129" s="57" t="s">
        <v>1135</v>
      </c>
      <c r="D129" s="58" t="s">
        <v>1136</v>
      </c>
      <c r="E129" s="59" t="str">
        <f>HYPERLINK("https://www.google.com/search?q=site%3Atatamotorsinsurancebrokers.com%20%22bajaj%20allianz%20life%22&amp;num=100","🔍 Search Google")</f>
        <v>🔍 Search Google</v>
      </c>
    </row>
    <row r="130">
      <c r="A130" s="52">
        <v>129.0</v>
      </c>
      <c r="B130" s="53" t="s">
        <v>1137</v>
      </c>
      <c r="C130" s="53" t="s">
        <v>1137</v>
      </c>
      <c r="D130" s="54" t="s">
        <v>1138</v>
      </c>
      <c r="E130" s="55" t="str">
        <f>HYPERLINK("https://www.google.com/search?q=site%3Arakshamitra.com%20%22bajaj%20allianz%20life%22&amp;num=100","🔍 Search Google")</f>
        <v>🔍 Search Google</v>
      </c>
    </row>
    <row r="131">
      <c r="A131" s="56">
        <v>130.0</v>
      </c>
      <c r="B131" s="57" t="s">
        <v>1139</v>
      </c>
      <c r="C131" s="57" t="s">
        <v>1139</v>
      </c>
      <c r="D131" s="58" t="s">
        <v>1140</v>
      </c>
      <c r="E131" s="59" t="str">
        <f>HYPERLINK("https://www.google.com/search?q=site%3Anhanceindia.in%20%22bajaj%20allianz%20life%22&amp;num=100","🔍 Search Google")</f>
        <v>🔍 Search Google</v>
      </c>
    </row>
    <row r="132">
      <c r="A132" s="52">
        <v>131.0</v>
      </c>
      <c r="B132" s="53" t="s">
        <v>1141</v>
      </c>
      <c r="C132" s="53" t="s">
        <v>1141</v>
      </c>
      <c r="D132" s="54" t="s">
        <v>1142</v>
      </c>
      <c r="E132" s="55" t="str">
        <f>HYPERLINK("https://www.google.com/search?q=site%3Ainsurancemanager.com%20%22bajaj%20allianz%20life%22&amp;num=100","🔍 Search Google")</f>
        <v>🔍 Search Google</v>
      </c>
    </row>
    <row r="133">
      <c r="A133" s="56">
        <v>132.0</v>
      </c>
      <c r="B133" s="57" t="s">
        <v>1143</v>
      </c>
      <c r="C133" s="57" t="s">
        <v>1143</v>
      </c>
      <c r="D133" s="58" t="s">
        <v>1144</v>
      </c>
      <c r="E133" s="59" t="str">
        <f>HYPERLINK("https://www.google.com/search?q=site%3Atelosrisk.com%20%22bajaj%20allianz%20life%22&amp;num=100","🔍 Search Google")</f>
        <v>🔍 Search Google</v>
      </c>
    </row>
    <row r="134">
      <c r="A134" s="52">
        <v>133.0</v>
      </c>
      <c r="B134" s="53" t="s">
        <v>1145</v>
      </c>
      <c r="C134" s="53" t="s">
        <v>1145</v>
      </c>
      <c r="D134" s="54" t="s">
        <v>1146</v>
      </c>
      <c r="E134" s="55" t="str">
        <f>HYPERLINK("https://www.google.com/search?q=site%3Aigniteinsurancebroking.com%20%22bajaj%20allianz%20life%22&amp;num=100","🔍 Search Google")</f>
        <v>🔍 Search Google</v>
      </c>
    </row>
    <row r="135">
      <c r="A135" s="56">
        <v>134.0</v>
      </c>
      <c r="B135" s="57" t="s">
        <v>1147</v>
      </c>
      <c r="C135" s="57" t="s">
        <v>1147</v>
      </c>
      <c r="D135" s="58" t="s">
        <v>1148</v>
      </c>
      <c r="E135" s="59" t="str">
        <f>HYPERLINK("https://www.google.com/search?q=site%3Apremiainsurance.in%20%22bajaj%20allianz%20life%22&amp;num=100","🔍 Search Google")</f>
        <v>🔍 Search Google</v>
      </c>
    </row>
    <row r="136">
      <c r="A136" s="52">
        <v>135.0</v>
      </c>
      <c r="B136" s="53" t="s">
        <v>1149</v>
      </c>
      <c r="C136" s="53" t="s">
        <v>1149</v>
      </c>
      <c r="D136" s="54" t="s">
        <v>1150</v>
      </c>
      <c r="E136" s="55" t="str">
        <f>HYPERLINK("https://www.google.com/search?q=site%3Aaibl.in%20%22bajaj%20allianz%20life%22&amp;num=100","🔍 Search Google")</f>
        <v>🔍 Search Google</v>
      </c>
    </row>
    <row r="137">
      <c r="A137" s="56">
        <v>136.0</v>
      </c>
      <c r="B137" s="57" t="s">
        <v>1151</v>
      </c>
      <c r="C137" s="57" t="s">
        <v>1151</v>
      </c>
      <c r="D137" s="58" t="s">
        <v>1152</v>
      </c>
      <c r="E137" s="59" t="str">
        <f>HYPERLINK("https://www.google.com/search?q=site%3Anabfins.org%20%22bajaj%20allianz%20life%22&amp;num=100","🔍 Search Google")</f>
        <v>🔍 Search Google</v>
      </c>
    </row>
    <row r="138">
      <c r="A138" s="52">
        <v>137.0</v>
      </c>
      <c r="B138" s="53" t="s">
        <v>1153</v>
      </c>
      <c r="C138" s="53" t="s">
        <v>1153</v>
      </c>
      <c r="D138" s="54" t="s">
        <v>1154</v>
      </c>
      <c r="E138" s="55" t="str">
        <f>HYPERLINK("https://www.google.com/search?q=site%3Aadityabirlamoney.com%20%22bajaj%20allianz%20life%22&amp;num=100","🔍 Search Google")</f>
        <v>🔍 Search Google</v>
      </c>
    </row>
    <row r="139">
      <c r="A139" s="56">
        <v>138.0</v>
      </c>
      <c r="B139" s="58" t="s">
        <v>1155</v>
      </c>
      <c r="C139" s="58" t="s">
        <v>1155</v>
      </c>
      <c r="D139" s="58" t="s">
        <v>1156</v>
      </c>
      <c r="E139" s="59" t="str">
        <f>HYPERLINK("https://www.google.com/search?q=site%3Ain.policy.online%20%22bajaj%20allianz%20life%22&amp;num=100","🔍 Search Google")</f>
        <v>🔍 Search Google</v>
      </c>
    </row>
    <row r="140">
      <c r="A140" s="52">
        <v>139.0</v>
      </c>
      <c r="B140" s="53" t="s">
        <v>1157</v>
      </c>
      <c r="C140" s="53" t="s">
        <v>1157</v>
      </c>
      <c r="D140" s="54" t="s">
        <v>1158</v>
      </c>
      <c r="E140" s="55" t="str">
        <f>HYPERLINK("https://www.google.com/search?q=site%3Asriyah.in%20%22bajaj%20allianz%20life%22&amp;num=100","🔍 Search Google")</f>
        <v>🔍 Search Google</v>
      </c>
    </row>
    <row r="141">
      <c r="A141" s="56">
        <v>140.0</v>
      </c>
      <c r="B141" s="57" t="s">
        <v>1159</v>
      </c>
      <c r="C141" s="57" t="s">
        <v>1159</v>
      </c>
      <c r="D141" s="58" t="s">
        <v>1160</v>
      </c>
      <c r="E141" s="59" t="str">
        <f>HYPERLINK("https://www.google.com/search?q=site%3Away2wealth.com%20%22bajaj%20allianz%20life%22&amp;num=100","🔍 Search Google")</f>
        <v>🔍 Search Google</v>
      </c>
    </row>
    <row r="142">
      <c r="A142" s="52">
        <v>141.0</v>
      </c>
      <c r="B142" s="53" t="s">
        <v>1161</v>
      </c>
      <c r="C142" s="53" t="s">
        <v>1161</v>
      </c>
      <c r="D142" s="54" t="s">
        <v>1162</v>
      </c>
      <c r="E142" s="55" t="str">
        <f>HYPERLINK("https://www.google.com/search?q=site%3Aloophealth.com%20%22bajaj%20allianz%20life%22&amp;num=100","🔍 Search Google")</f>
        <v>🔍 Search Google</v>
      </c>
    </row>
    <row r="143">
      <c r="A143" s="56">
        <v>142.0</v>
      </c>
      <c r="B143" s="57" t="s">
        <v>1163</v>
      </c>
      <c r="C143" s="57" t="s">
        <v>1163</v>
      </c>
      <c r="D143" s="58" t="s">
        <v>1164</v>
      </c>
      <c r="E143" s="59" t="str">
        <f>HYPERLINK("https://www.google.com/search?q=site%3Atamarindinsurance.com%20%22bajaj%20allianz%20life%22&amp;num=100","🔍 Search Google")</f>
        <v>🔍 Search Google</v>
      </c>
    </row>
    <row r="144">
      <c r="A144" s="52">
        <v>143.0</v>
      </c>
      <c r="B144" s="53" t="s">
        <v>1165</v>
      </c>
      <c r="C144" s="53" t="s">
        <v>1165</v>
      </c>
      <c r="D144" s="54" t="s">
        <v>1166</v>
      </c>
      <c r="E144" s="55" t="str">
        <f>HYPERLINK("https://www.google.com/search?q=site%3Aposp.policyplanner.com%20%22bajaj%20allianz%20life%22&amp;num=100","🔍 Search Google")</f>
        <v>🔍 Search Google</v>
      </c>
    </row>
    <row r="145">
      <c r="A145" s="56">
        <v>144.0</v>
      </c>
      <c r="B145" s="57" t="s">
        <v>1167</v>
      </c>
      <c r="C145" s="57" t="s">
        <v>1167</v>
      </c>
      <c r="D145" s="58" t="s">
        <v>1168</v>
      </c>
      <c r="E145" s="59" t="str">
        <f>HYPERLINK("https://www.google.com/search?q=site%3Abimaguide.com%20%22bajaj%20allianz%20life%22&amp;num=100","🔍 Search Google")</f>
        <v>🔍 Search Google</v>
      </c>
    </row>
    <row r="146">
      <c r="A146" s="52">
        <v>145.0</v>
      </c>
      <c r="B146" s="53" t="s">
        <v>1169</v>
      </c>
      <c r="C146" s="53" t="s">
        <v>1169</v>
      </c>
      <c r="D146" s="54" t="s">
        <v>1170</v>
      </c>
      <c r="E146" s="55" t="str">
        <f>HYPERLINK("https://www.google.com/search?q=site%3Asssriskmanagement.com%20%22bajaj%20allianz%20life%22&amp;num=100","🔍 Search Google")</f>
        <v>🔍 Search Google</v>
      </c>
    </row>
    <row r="147">
      <c r="A147" s="56">
        <v>146.0</v>
      </c>
      <c r="B147" s="57" t="s">
        <v>1171</v>
      </c>
      <c r="C147" s="57" t="s">
        <v>1171</v>
      </c>
      <c r="D147" s="58" t="s">
        <v>1172</v>
      </c>
      <c r="E147" s="59" t="str">
        <f>HYPERLINK("https://www.google.com/search?q=site%3Aupstox.com%20%22bajaj%20allianz%20life%22&amp;num=100","🔍 Search Google")</f>
        <v>🔍 Search Google</v>
      </c>
    </row>
    <row r="148">
      <c r="A148" s="52">
        <v>147.0</v>
      </c>
      <c r="B148" s="53" t="s">
        <v>1173</v>
      </c>
      <c r="C148" s="53" t="s">
        <v>1173</v>
      </c>
      <c r="D148" s="54" t="s">
        <v>1174</v>
      </c>
      <c r="E148" s="55" t="str">
        <f>HYPERLINK("https://www.google.com/search?q=site%3Aeclfinance.edelweissfin.com%20%22bajaj%20allianz%20life%22&amp;num=100","🔍 Search Google")</f>
        <v>🔍 Search Google</v>
      </c>
    </row>
    <row r="149">
      <c r="A149" s="56">
        <v>148.0</v>
      </c>
      <c r="B149" s="57" t="s">
        <v>1175</v>
      </c>
      <c r="C149" s="57" t="s">
        <v>1175</v>
      </c>
      <c r="D149" s="58" t="s">
        <v>1176</v>
      </c>
      <c r="E149" s="59" t="str">
        <f>HYPERLINK("https://www.google.com/search?q=site%3Anidohomefin.com%20%22bajaj%20allianz%20life%22&amp;num=100","🔍 Search Google")</f>
        <v>🔍 Search Google</v>
      </c>
    </row>
    <row r="150">
      <c r="A150" s="52">
        <v>149.0</v>
      </c>
      <c r="B150" s="53" t="s">
        <v>1177</v>
      </c>
      <c r="C150" s="53" t="s">
        <v>1177</v>
      </c>
      <c r="D150" s="54" t="s">
        <v>1178</v>
      </c>
      <c r="E150" s="55" t="str">
        <f>HYPERLINK("https://www.google.com/search?q=site%3Aubgb.in%20%22bajaj%20allianz%20life%22&amp;num=100","🔍 Search Google")</f>
        <v>🔍 Search Google</v>
      </c>
    </row>
    <row r="151">
      <c r="A151" s="56">
        <v>150.0</v>
      </c>
      <c r="B151" s="57" t="s">
        <v>1179</v>
      </c>
      <c r="C151" s="57" t="s">
        <v>1179</v>
      </c>
      <c r="D151" s="58" t="s">
        <v>1180</v>
      </c>
      <c r="E151" s="59" t="str">
        <f>HYPERLINK("https://www.google.com/search?q=site%3Ainditrade.com%20%22bajaj%20allianz%20life%22&amp;num=100","🔍 Search Google")</f>
        <v>🔍 Search Google</v>
      </c>
    </row>
    <row r="152">
      <c r="A152" s="52">
        <v>151.0</v>
      </c>
      <c r="B152" s="53" t="s">
        <v>1181</v>
      </c>
      <c r="C152" s="53" t="s">
        <v>1181</v>
      </c>
      <c r="D152" s="54" t="s">
        <v>1182</v>
      </c>
      <c r="E152" s="55" t="str">
        <f>HYPERLINK("https://www.google.com/search?q=site%3Antrust.co.in%20%22bajaj%20allianz%20life%22&amp;num=100","🔍 Search Google")</f>
        <v>🔍 Search Google</v>
      </c>
    </row>
    <row r="153">
      <c r="A153" s="56">
        <v>152.0</v>
      </c>
      <c r="B153" s="57" t="s">
        <v>1183</v>
      </c>
      <c r="C153" s="57" t="s">
        <v>1183</v>
      </c>
      <c r="D153" s="58" t="s">
        <v>1184</v>
      </c>
      <c r="E153" s="59" t="str">
        <f>HYPERLINK("https://www.google.com/search?q=site%3Araghnall.co.in%20%22bajaj%20allianz%20life%22&amp;num=100","🔍 Search Google")</f>
        <v>🔍 Search Google</v>
      </c>
    </row>
    <row r="154">
      <c r="A154" s="52">
        <v>153.0</v>
      </c>
      <c r="B154" s="53" t="s">
        <v>1185</v>
      </c>
      <c r="C154" s="53" t="s">
        <v>1185</v>
      </c>
      <c r="D154" s="54" t="s">
        <v>1186</v>
      </c>
      <c r="E154" s="55" t="str">
        <f>HYPERLINK("https://www.google.com/search?q=site%3Akausalyam.com%20%22bajaj%20allianz%20life%22&amp;num=100","🔍 Search Google")</f>
        <v>🔍 Search Google</v>
      </c>
    </row>
    <row r="155">
      <c r="A155" s="56">
        <v>154.0</v>
      </c>
      <c r="B155" s="57" t="s">
        <v>1187</v>
      </c>
      <c r="C155" s="57" t="s">
        <v>1187</v>
      </c>
      <c r="D155" s="58" t="s">
        <v>1188</v>
      </c>
      <c r="E155" s="59" t="str">
        <f>HYPERLINK("https://www.google.com/search?q=site%3Aaxis.bank.in%20%22bajaj%20allianz%20life%22&amp;num=100","🔍 Search Google")</f>
        <v>🔍 Search Google</v>
      </c>
    </row>
    <row r="156">
      <c r="A156" s="52">
        <v>155.0</v>
      </c>
      <c r="B156" s="53" t="s">
        <v>1189</v>
      </c>
      <c r="C156" s="53" t="s">
        <v>1189</v>
      </c>
      <c r="D156" s="54" t="s">
        <v>1190</v>
      </c>
      <c r="E156" s="55" t="str">
        <f>HYPERLINK("https://www.google.com/search?q=site%3Arbl.bank.in%20%22bajaj%20allianz%20life%22&amp;num=100","🔍 Search Google")</f>
        <v>🔍 Search Google</v>
      </c>
    </row>
    <row r="157">
      <c r="A157" s="56">
        <v>156.0</v>
      </c>
      <c r="B157" s="57" t="s">
        <v>1191</v>
      </c>
      <c r="C157" s="57" t="s">
        <v>1191</v>
      </c>
      <c r="D157" s="58" t="s">
        <v>1192</v>
      </c>
      <c r="E157" s="59" t="str">
        <f>HYPERLINK("https://www.google.com/search?q=site%3Aidfcfirst.bank.in%20%22bajaj%20allianz%20life%22&amp;num=100","🔍 Search Google")</f>
        <v>🔍 Search Google</v>
      </c>
    </row>
    <row r="158">
      <c r="A158" s="52">
        <v>157.0</v>
      </c>
      <c r="B158" s="53" t="s">
        <v>1193</v>
      </c>
      <c r="C158" s="53" t="s">
        <v>1193</v>
      </c>
      <c r="D158" s="54" t="s">
        <v>1194</v>
      </c>
      <c r="E158" s="55" t="str">
        <f>HYPERLINK("https://www.google.com/search?q=site%3Adbs.bank.in%20%22bajaj%20allianz%20life%22&amp;num=100","🔍 Search Google")</f>
        <v>🔍 Search Google</v>
      </c>
    </row>
    <row r="159">
      <c r="A159" s="56">
        <v>158.0</v>
      </c>
      <c r="B159" s="57" t="s">
        <v>1195</v>
      </c>
      <c r="C159" s="57" t="s">
        <v>1195</v>
      </c>
      <c r="D159" s="58" t="s">
        <v>1196</v>
      </c>
      <c r="E159" s="59" t="str">
        <f>HYPERLINK("https://www.google.com/search?q=site%3Apunjabandsind.bank.in%20%22bajaj%20allianz%20life%22&amp;num=100","🔍 Search Google")</f>
        <v>🔍 Search Google</v>
      </c>
    </row>
    <row r="160">
      <c r="A160" s="52">
        <v>159.0</v>
      </c>
      <c r="B160" s="53" t="s">
        <v>1197</v>
      </c>
      <c r="C160" s="53" t="s">
        <v>1197</v>
      </c>
      <c r="D160" s="54" t="s">
        <v>1198</v>
      </c>
      <c r="E160" s="55" t="str">
        <f>HYPERLINK("https://www.google.com/search?q=site%3Ajkb.bank.in%20%22bajaj%20allianz%20life%22&amp;num=100","🔍 Search Google")</f>
        <v>🔍 Search Google</v>
      </c>
    </row>
    <row r="161">
      <c r="A161" s="56">
        <v>160.0</v>
      </c>
      <c r="B161" s="57" t="s">
        <v>1199</v>
      </c>
      <c r="C161" s="57" t="s">
        <v>1199</v>
      </c>
      <c r="D161" s="58" t="s">
        <v>1200</v>
      </c>
      <c r="E161" s="59" t="str">
        <f>HYPERLINK("https://www.google.com/search?q=site%3Ayes.bank.in%20%22bajaj%20allianz%20life%22&amp;num=100","🔍 Search Google")</f>
        <v>🔍 Search Google</v>
      </c>
    </row>
    <row r="162">
      <c r="A162" s="52">
        <v>161.0</v>
      </c>
      <c r="B162" s="53" t="s">
        <v>1201</v>
      </c>
      <c r="C162" s="53" t="s">
        <v>1201</v>
      </c>
      <c r="D162" s="54" t="s">
        <v>1202</v>
      </c>
      <c r="E162" s="55" t="str">
        <f>HYPERLINK("https://www.google.com/search?q=site%3Amanappuram.com%20%22bajaj%20allianz%20life%22&amp;num=100","🔍 Search Google")</f>
        <v>🔍 Search Google</v>
      </c>
    </row>
    <row r="163">
      <c r="A163" s="56">
        <v>162.0</v>
      </c>
      <c r="B163" s="57" t="s">
        <v>1203</v>
      </c>
      <c r="C163" s="57" t="s">
        <v>1203</v>
      </c>
      <c r="D163" s="58" t="s">
        <v>1204</v>
      </c>
      <c r="E163" s="59" t="str">
        <f>HYPERLINK("https://www.google.com/search?q=site%3Azebuetrade.com%20%22bajaj%20allianz%20life%22&amp;num=100","🔍 Search Google")</f>
        <v>🔍 Search Google</v>
      </c>
    </row>
    <row r="164">
      <c r="A164" s="52">
        <v>163.0</v>
      </c>
      <c r="B164" s="53" t="s">
        <v>1205</v>
      </c>
      <c r="C164" s="53" t="s">
        <v>1205</v>
      </c>
      <c r="D164" s="54" t="s">
        <v>1206</v>
      </c>
      <c r="E164" s="55" t="str">
        <f>HYPERLINK("https://www.google.com/search?q=site%3Aprameshwealth.com%20%22bajaj%20allianz%20life%22&amp;num=100","🔍 Search Google")</f>
        <v>🔍 Search Google</v>
      </c>
    </row>
    <row r="165">
      <c r="A165" s="56">
        <v>164.0</v>
      </c>
      <c r="B165" s="57" t="s">
        <v>1207</v>
      </c>
      <c r="C165" s="57" t="s">
        <v>1207</v>
      </c>
      <c r="D165" s="58" t="s">
        <v>1208</v>
      </c>
      <c r="E165" s="59" t="str">
        <f>HYPERLINK("https://www.google.com/search?q=site%3Aepsilonmoney.com%20%22bajaj%20allianz%20life%22&amp;num=100","🔍 Search Google")</f>
        <v>🔍 Search Google</v>
      </c>
    </row>
    <row r="166">
      <c r="A166" s="52">
        <v>165.0</v>
      </c>
      <c r="B166" s="53" t="s">
        <v>1209</v>
      </c>
      <c r="C166" s="53" t="s">
        <v>1209</v>
      </c>
      <c r="D166" s="54" t="s">
        <v>1210</v>
      </c>
      <c r="E166" s="55" t="str">
        <f>HYPERLINK("https://www.google.com/search?q=site%3Ahomefinance.adityabirlacapital.com%20%22bajaj%20allianz%20life%22&amp;num=100","🔍 Search Google")</f>
        <v>🔍 Search Google</v>
      </c>
    </row>
    <row r="167">
      <c r="A167" s="56">
        <v>166.0</v>
      </c>
      <c r="B167" s="57" t="s">
        <v>1211</v>
      </c>
      <c r="C167" s="57" t="s">
        <v>1211</v>
      </c>
      <c r="D167" s="58" t="s">
        <v>1212</v>
      </c>
      <c r="E167" s="59" t="str">
        <f>HYPERLINK("https://www.google.com/search?q=site%3Ashriramfinance.in%20%22bajaj%20allianz%20life%22&amp;num=100","🔍 Search Google")</f>
        <v>🔍 Search Google</v>
      </c>
    </row>
    <row r="168">
      <c r="A168" s="52">
        <v>167.0</v>
      </c>
      <c r="B168" s="53" t="s">
        <v>1213</v>
      </c>
      <c r="C168" s="53" t="s">
        <v>1213</v>
      </c>
      <c r="D168" s="54" t="s">
        <v>1214</v>
      </c>
      <c r="E168" s="55" t="str">
        <f>HYPERLINK("https://www.google.com/search?q=site%3Apolicysansar.com%20%22bajaj%20allianz%20life%22&amp;num=100","🔍 Search Google")</f>
        <v>🔍 Search Google</v>
      </c>
    </row>
    <row r="169">
      <c r="A169" s="56">
        <v>168.0</v>
      </c>
      <c r="B169" s="57" t="s">
        <v>1215</v>
      </c>
      <c r="C169" s="57" t="s">
        <v>1215</v>
      </c>
      <c r="D169" s="58" t="s">
        <v>1216</v>
      </c>
      <c r="E169" s="59" t="str">
        <f>HYPERLINK("https://www.google.com/search?q=site%3Awealthkartinsurance.com%20%22bajaj%20allianz%20life%22&amp;num=100","🔍 Search Google")</f>
        <v>🔍 Search Google</v>
      </c>
    </row>
    <row r="170">
      <c r="A170" s="52">
        <v>169.0</v>
      </c>
      <c r="B170" s="53" t="s">
        <v>1217</v>
      </c>
      <c r="C170" s="53" t="s">
        <v>1217</v>
      </c>
      <c r="D170" s="54" t="s">
        <v>1218</v>
      </c>
      <c r="E170" s="55" t="str">
        <f>HYPERLINK("https://www.google.com/search?q=site%3Abimasolutions.com%20%22bajaj%20allianz%20life%22&amp;num=100","🔍 Search Google")</f>
        <v>🔍 Search Google</v>
      </c>
    </row>
    <row r="171">
      <c r="A171" s="56">
        <v>170.0</v>
      </c>
      <c r="B171" s="57" t="s">
        <v>1219</v>
      </c>
      <c r="C171" s="57" t="s">
        <v>1219</v>
      </c>
      <c r="D171" s="58" t="s">
        <v>1220</v>
      </c>
      <c r="E171" s="59" t="str">
        <f>HYPERLINK("https://www.google.com/search?q=site%3Amerasuraksha.com%20%22bajaj%20allianz%20life%22&amp;num=100","🔍 Search Google")</f>
        <v>🔍 Search Google</v>
      </c>
    </row>
    <row r="172">
      <c r="A172" s="52">
        <v>171.0</v>
      </c>
      <c r="B172" s="53" t="s">
        <v>1221</v>
      </c>
      <c r="C172" s="53" t="s">
        <v>1221</v>
      </c>
      <c r="D172" s="54" t="s">
        <v>1222</v>
      </c>
      <c r="E172" s="55" t="str">
        <f>HYPERLINK("https://www.google.com/search?q=site%3Asparkadvisors.in%20%22bajaj%20allianz%20life%22&amp;num=100","🔍 Search Google")</f>
        <v>🔍 Search Google</v>
      </c>
    </row>
    <row r="173">
      <c r="A173" s="56">
        <v>172.0</v>
      </c>
      <c r="B173" s="57" t="s">
        <v>1223</v>
      </c>
      <c r="C173" s="57" t="s">
        <v>1223</v>
      </c>
      <c r="D173" s="58" t="s">
        <v>1224</v>
      </c>
      <c r="E173" s="59" t="str">
        <f>HYPERLINK("https://www.google.com/search?q=site%3Arespo.co.in%20%22bajaj%20allianz%20life%22&amp;num=100","🔍 Search Google")</f>
        <v>🔍 Search Google</v>
      </c>
    </row>
    <row r="174">
      <c r="A174" s="52">
        <v>173.0</v>
      </c>
      <c r="B174" s="53" t="s">
        <v>1225</v>
      </c>
      <c r="C174" s="53" t="s">
        <v>1225</v>
      </c>
      <c r="D174" s="54" t="s">
        <v>1226</v>
      </c>
      <c r="E174" s="55" t="str">
        <f>HYPERLINK("https://www.google.com/search?q=site%3Arudrainsurance.website2.me%20%22bajaj%20allianz%20life%22&amp;num=100","🔍 Search Google")</f>
        <v>🔍 Search Google</v>
      </c>
    </row>
    <row r="175">
      <c r="A175" s="56">
        <v>174.0</v>
      </c>
      <c r="B175" s="58" t="s">
        <v>1227</v>
      </c>
      <c r="C175" s="58" t="s">
        <v>1227</v>
      </c>
      <c r="D175" s="58" t="s">
        <v>1228</v>
      </c>
      <c r="E175" s="59" t="str">
        <f>HYPERLINK("https://www.google.com/search?q=site%3Abalio.insure%20%22bajaj%20allianz%20life%22&amp;num=100","🔍 Search Google")</f>
        <v>🔍 Search Google</v>
      </c>
    </row>
    <row r="176">
      <c r="A176" s="52">
        <v>175.0</v>
      </c>
      <c r="B176" s="53" t="s">
        <v>1229</v>
      </c>
      <c r="C176" s="53" t="s">
        <v>1229</v>
      </c>
      <c r="D176" s="54" t="s">
        <v>1230</v>
      </c>
      <c r="E176" s="55" t="str">
        <f>HYPERLINK("https://www.google.com/search?q=site%3Agoproibpl.com%20%22bajaj%20allianz%20life%22&amp;num=100","🔍 Search Google")</f>
        <v>🔍 Search Google</v>
      </c>
    </row>
    <row r="177">
      <c r="A177" s="56">
        <v>176.0</v>
      </c>
      <c r="B177" s="57" t="s">
        <v>1231</v>
      </c>
      <c r="C177" s="57" t="s">
        <v>1231</v>
      </c>
      <c r="D177" s="58" t="s">
        <v>1232</v>
      </c>
      <c r="E177" s="59" t="str">
        <f>HYPERLINK("https://www.google.com/search?q=site%3Aheuteandmorgen.com%20%22bajaj%20allianz%20life%22&amp;num=100","🔍 Search Google")</f>
        <v>🔍 Search Google</v>
      </c>
    </row>
    <row r="178">
      <c r="A178" s="52">
        <v>177.0</v>
      </c>
      <c r="B178" s="53" t="s">
        <v>1233</v>
      </c>
      <c r="C178" s="53" t="s">
        <v>1233</v>
      </c>
      <c r="D178" s="54" t="s">
        <v>1234</v>
      </c>
      <c r="E178" s="55" t="str">
        <f>HYPERLINK("https://www.google.com/search?q=site%3Aonesure.co.in%20%22bajaj%20allianz%20life%22&amp;num=100","🔍 Search Google")</f>
        <v>🔍 Search Google</v>
      </c>
    </row>
    <row r="179">
      <c r="A179" s="56">
        <v>178.0</v>
      </c>
      <c r="B179" s="57" t="s">
        <v>1235</v>
      </c>
      <c r="C179" s="57" t="s">
        <v>1235</v>
      </c>
      <c r="D179" s="58" t="s">
        <v>1236</v>
      </c>
      <c r="E179" s="59" t="str">
        <f>HYPERLINK("https://www.google.com/search?q=site%3Alibpl.com%20%22bajaj%20allianz%20life%22&amp;num=100","🔍 Search Google")</f>
        <v>🔍 Search Google</v>
      </c>
    </row>
    <row r="180">
      <c r="A180" s="52">
        <v>179.0</v>
      </c>
      <c r="B180" s="53" t="s">
        <v>1237</v>
      </c>
      <c r="C180" s="53" t="s">
        <v>1237</v>
      </c>
      <c r="D180" s="54" t="s">
        <v>1238</v>
      </c>
      <c r="E180" s="55" t="str">
        <f>HYPERLINK("https://www.google.com/search?q=site%3Aashutoshfinserv.com%20%22bajaj%20allianz%20life%22&amp;num=100","🔍 Search Google")</f>
        <v>🔍 Search Google</v>
      </c>
    </row>
    <row r="181">
      <c r="A181" s="56">
        <v>180.0</v>
      </c>
      <c r="B181" s="57" t="s">
        <v>1239</v>
      </c>
      <c r="C181" s="57" t="s">
        <v>1239</v>
      </c>
      <c r="D181" s="58" t="s">
        <v>1240</v>
      </c>
      <c r="E181" s="59" t="str">
        <f>HYPERLINK("https://www.google.com/search?q=site%3Abimaguru.in%20%22bajaj%20allianz%20life%22&amp;num=100","🔍 Search Google")</f>
        <v>🔍 Search Google</v>
      </c>
    </row>
    <row r="182">
      <c r="A182" s="52">
        <v>181.0</v>
      </c>
      <c r="B182" s="53" t="s">
        <v>1241</v>
      </c>
      <c r="C182" s="53" t="s">
        <v>1241</v>
      </c>
      <c r="D182" s="54" t="s">
        <v>1242</v>
      </c>
      <c r="E182" s="55" t="str">
        <f>HYPERLINK("https://www.google.com/search?q=site%3A3di.co.in%20%22bajaj%20allianz%20life%22&amp;num=100","🔍 Search Google")</f>
        <v>🔍 Search Google</v>
      </c>
    </row>
    <row r="183">
      <c r="A183" s="56">
        <v>182.0</v>
      </c>
      <c r="B183" s="57" t="s">
        <v>1243</v>
      </c>
      <c r="C183" s="57" t="s">
        <v>1243</v>
      </c>
      <c r="D183" s="58" t="s">
        <v>1244</v>
      </c>
      <c r="E183" s="59" t="str">
        <f>HYPERLINK("https://www.google.com/search?q=site%3Acri.co.in%20%22bajaj%20allianz%20life%22&amp;num=100","🔍 Search Google")</f>
        <v>🔍 Search Google</v>
      </c>
    </row>
    <row r="184">
      <c r="A184" s="52">
        <v>183.0</v>
      </c>
      <c r="B184" s="53" t="s">
        <v>1245</v>
      </c>
      <c r="C184" s="53" t="s">
        <v>1245</v>
      </c>
      <c r="D184" s="54" t="s">
        <v>1246</v>
      </c>
      <c r="E184" s="55" t="str">
        <f>HYPERLINK("https://www.google.com/search?q=site%3Aaimsinsurance.in%20%22bajaj%20allianz%20life%22&amp;num=100","🔍 Search Google")</f>
        <v>🔍 Search Google</v>
      </c>
    </row>
    <row r="185">
      <c r="A185" s="56">
        <v>184.0</v>
      </c>
      <c r="B185" s="57" t="s">
        <v>1247</v>
      </c>
      <c r="C185" s="57" t="s">
        <v>1247</v>
      </c>
      <c r="D185" s="58" t="s">
        <v>1248</v>
      </c>
      <c r="E185" s="59" t="str">
        <f>HYPERLINK("https://www.google.com/search?q=site%3Amahindrainsurancebrokers.com%20%22bajaj%20allianz%20life%22&amp;num=100","🔍 Search Google")</f>
        <v>🔍 Search Google</v>
      </c>
    </row>
    <row r="186">
      <c r="A186" s="52">
        <v>185.0</v>
      </c>
      <c r="B186" s="53" t="s">
        <v>1249</v>
      </c>
      <c r="C186" s="53" t="s">
        <v>1249</v>
      </c>
      <c r="D186" s="54" t="s">
        <v>1250</v>
      </c>
      <c r="E186" s="55" t="str">
        <f>HYPERLINK("https://www.google.com/search?q=site%3Aprofectuscapital.com%20%22bajaj%20allianz%20life%22&amp;num=100","🔍 Search Google")</f>
        <v>🔍 Search Google</v>
      </c>
    </row>
    <row r="187">
      <c r="A187" s="56">
        <v>186.0</v>
      </c>
      <c r="B187" s="57" t="s">
        <v>1251</v>
      </c>
      <c r="C187" s="57" t="s">
        <v>1251</v>
      </c>
      <c r="D187" s="58" t="s">
        <v>1252</v>
      </c>
      <c r="E187" s="59" t="str">
        <f>HYPERLINK("https://www.google.com/search?q=site%3Atnsc.bank.in%20%22bajaj%20allianz%20life%22&amp;num=100","🔍 Search Google")</f>
        <v>🔍 Search Google</v>
      </c>
    </row>
    <row r="188">
      <c r="A188" s="52">
        <v>187.0</v>
      </c>
      <c r="B188" s="53" t="s">
        <v>1253</v>
      </c>
      <c r="C188" s="53" t="s">
        <v>1253</v>
      </c>
      <c r="D188" s="54" t="s">
        <v>1254</v>
      </c>
      <c r="E188" s="55" t="str">
        <f>HYPERLINK("https://www.google.com/search?q=site%3Avarashaktihousing.co.in%20%22bajaj%20allianz%20life%22&amp;num=100","🔍 Search Google")</f>
        <v>🔍 Search Google</v>
      </c>
    </row>
    <row r="189">
      <c r="A189" s="56">
        <v>188.0</v>
      </c>
      <c r="B189" s="57" t="s">
        <v>1255</v>
      </c>
      <c r="C189" s="57" t="s">
        <v>1255</v>
      </c>
      <c r="D189" s="58" t="s">
        <v>1256</v>
      </c>
      <c r="E189" s="59" t="str">
        <f>HYPERLINK("https://www.google.com/search?q=site%3Asvatantramicrofin.com%20%22bajaj%20allianz%20life%22&amp;num=100","🔍 Search Google")</f>
        <v>🔍 Search Google</v>
      </c>
    </row>
    <row r="190">
      <c r="A190" s="52">
        <v>189.0</v>
      </c>
      <c r="B190" s="53" t="s">
        <v>1257</v>
      </c>
      <c r="C190" s="53" t="s">
        <v>1257</v>
      </c>
      <c r="D190" s="54" t="s">
        <v>1258</v>
      </c>
      <c r="E190" s="55" t="str">
        <f>HYPERLINK("https://www.google.com/search?q=site%3Apolicybasket.in%20%22bajaj%20allianz%20life%22&amp;num=100","🔍 Search Google")</f>
        <v>🔍 Search Google</v>
      </c>
    </row>
    <row r="191">
      <c r="A191" s="56">
        <v>190.0</v>
      </c>
      <c r="B191" s="57" t="s">
        <v>1259</v>
      </c>
      <c r="C191" s="57" t="s">
        <v>1259</v>
      </c>
      <c r="D191" s="58" t="s">
        <v>1260</v>
      </c>
      <c r="E191" s="59" t="str">
        <f>HYPERLINK("https://www.google.com/search?q=site%3Awmggroup.in%20%22bajaj%20allianz%20life%22&amp;num=100","🔍 Search Google")</f>
        <v>🔍 Search Google</v>
      </c>
    </row>
    <row r="192">
      <c r="A192" s="52">
        <v>191.0</v>
      </c>
      <c r="B192" s="53" t="s">
        <v>1261</v>
      </c>
      <c r="C192" s="53" t="s">
        <v>1261</v>
      </c>
      <c r="D192" s="54" t="s">
        <v>1262</v>
      </c>
      <c r="E192" s="55" t="str">
        <f>HYPERLINK("https://www.google.com/search?q=site%3Aswap.apnainsurance.in%20%22bajaj%20allianz%20life%22&amp;num=100","🔍 Search Google")</f>
        <v>🔍 Search Google</v>
      </c>
    </row>
    <row r="193">
      <c r="A193" s="56">
        <v>192.0</v>
      </c>
      <c r="B193" s="57" t="s">
        <v>1263</v>
      </c>
      <c r="C193" s="57" t="s">
        <v>1263</v>
      </c>
      <c r="D193" s="58" t="s">
        <v>1264</v>
      </c>
      <c r="E193" s="59" t="str">
        <f>HYPERLINK("https://www.google.com/search?q=site%3Askyfireinsurance.in%20%22bajaj%20allianz%20life%22&amp;num=100","🔍 Search Google")</f>
        <v>🔍 Search Google</v>
      </c>
    </row>
    <row r="194">
      <c r="A194" s="52">
        <v>193.0</v>
      </c>
      <c r="B194" s="53" t="s">
        <v>1265</v>
      </c>
      <c r="C194" s="53" t="s">
        <v>1265</v>
      </c>
      <c r="D194" s="54" t="s">
        <v>1266</v>
      </c>
      <c r="E194" s="55" t="str">
        <f>HYPERLINK("https://www.google.com/search?q=site%3Auniversebima.com%20%22bajaj%20allianz%20life%22&amp;num=100","🔍 Search Google")</f>
        <v>🔍 Search Google</v>
      </c>
    </row>
    <row r="195">
      <c r="A195" s="56">
        <v>194.0</v>
      </c>
      <c r="B195" s="57" t="s">
        <v>1267</v>
      </c>
      <c r="C195" s="57" t="s">
        <v>1267</v>
      </c>
      <c r="D195" s="58" t="s">
        <v>1268</v>
      </c>
      <c r="E195" s="59" t="str">
        <f>HYPERLINK("https://www.google.com/search?q=site%3Asorigin.co%20%22bajaj%20allianz%20life%22&amp;num=100","🔍 Search Google")</f>
        <v>🔍 Search Google</v>
      </c>
    </row>
    <row r="196">
      <c r="A196" s="52">
        <v>195.0</v>
      </c>
      <c r="B196" s="53" t="s">
        <v>1269</v>
      </c>
      <c r="C196" s="53" t="s">
        <v>1269</v>
      </c>
      <c r="D196" s="54" t="s">
        <v>1270</v>
      </c>
      <c r="E196" s="55" t="str">
        <f>HYPERLINK("https://www.google.com/search?q=site%3Avachaninsurance.com%20%22bajaj%20allianz%20life%22&amp;num=100","🔍 Search Google")</f>
        <v>🔍 Search Google</v>
      </c>
    </row>
    <row r="197">
      <c r="A197" s="56">
        <v>196.0</v>
      </c>
      <c r="B197" s="57" t="s">
        <v>1271</v>
      </c>
      <c r="C197" s="57" t="s">
        <v>1271</v>
      </c>
      <c r="D197" s="58" t="s">
        <v>1272</v>
      </c>
      <c r="E197" s="59" t="str">
        <f>HYPERLINK("https://www.google.com/search?q=site%3Aroyalinsurance.in%20%22bajaj%20allianz%20life%22&amp;num=100","🔍 Search Google")</f>
        <v>🔍 Search Google</v>
      </c>
    </row>
    <row r="198">
      <c r="A198" s="52">
        <v>197.0</v>
      </c>
      <c r="B198" s="53" t="s">
        <v>1273</v>
      </c>
      <c r="C198" s="53" t="s">
        <v>1273</v>
      </c>
      <c r="D198" s="54" t="s">
        <v>1274</v>
      </c>
      <c r="E198" s="55" t="str">
        <f>HYPERLINK("https://www.google.com/search?q=site%3Aoptima.co.in%20%22bajaj%20allianz%20life%22&amp;num=100","🔍 Search Google")</f>
        <v>🔍 Search Google</v>
      </c>
    </row>
    <row r="199">
      <c r="A199" s="56">
        <v>198.0</v>
      </c>
      <c r="B199" s="57" t="s">
        <v>1275</v>
      </c>
      <c r="C199" s="57" t="s">
        <v>1275</v>
      </c>
      <c r="D199" s="58" t="s">
        <v>1276</v>
      </c>
      <c r="E199" s="59" t="str">
        <f>HYPERLINK("https://www.google.com/search?q=site%3Aincred.com%20%22bajaj%20allianz%20life%22&amp;num=100","🔍 Search Google")</f>
        <v>🔍 Search Google</v>
      </c>
    </row>
    <row r="200">
      <c r="A200" s="52">
        <v>199.0</v>
      </c>
      <c r="B200" s="54" t="s">
        <v>1277</v>
      </c>
      <c r="C200" s="54" t="s">
        <v>1277</v>
      </c>
      <c r="D200" s="54" t="s">
        <v>1278</v>
      </c>
      <c r="E200" s="55" t="str">
        <f>HYPERLINK("https://www.google.com/search?q=site%3A360.one%20%22bajaj%20allianz%20life%22&amp;num=100","🔍 Search Google")</f>
        <v>🔍 Search Google</v>
      </c>
    </row>
    <row r="201">
      <c r="A201" s="56">
        <v>200.0</v>
      </c>
      <c r="B201" s="57" t="s">
        <v>1279</v>
      </c>
      <c r="C201" s="57" t="s">
        <v>1279</v>
      </c>
      <c r="D201" s="58" t="s">
        <v>1280</v>
      </c>
      <c r="E201" s="59" t="str">
        <f>HYPERLINK("https://www.google.com/search?q=site%3Acafsindia.com%20%22bajaj%20allianz%20life%22&amp;num=100","🔍 Search Google")</f>
        <v>🔍 Search Google</v>
      </c>
    </row>
    <row r="202">
      <c r="A202" s="52">
        <v>201.0</v>
      </c>
      <c r="B202" s="53" t="s">
        <v>1281</v>
      </c>
      <c r="C202" s="53" t="s">
        <v>1281</v>
      </c>
      <c r="D202" s="54" t="s">
        <v>1282</v>
      </c>
      <c r="E202" s="55" t="str">
        <f>HYPERLINK("https://www.google.com/search?q=site%3Ashrinithiinsure.com%20%22bajaj%20allianz%20life%22&amp;num=100","🔍 Search Google")</f>
        <v>🔍 Search Google</v>
      </c>
    </row>
    <row r="203">
      <c r="A203" s="56">
        <v>202.0</v>
      </c>
      <c r="B203" s="57" t="s">
        <v>1283</v>
      </c>
      <c r="C203" s="57" t="s">
        <v>1283</v>
      </c>
      <c r="D203" s="58" t="s">
        <v>1284</v>
      </c>
      <c r="E203" s="59" t="str">
        <f>HYPERLINK("https://www.google.com/search?q=site%3Acholasecurities.com%20%22bajaj%20allianz%20life%22&amp;num=100","🔍 Search Google")</f>
        <v>🔍 Search Google</v>
      </c>
    </row>
    <row r="204">
      <c r="A204" s="52">
        <v>203.0</v>
      </c>
      <c r="B204" s="53" t="s">
        <v>1285</v>
      </c>
      <c r="C204" s="53" t="s">
        <v>1285</v>
      </c>
      <c r="D204" s="54" t="s">
        <v>1286</v>
      </c>
      <c r="E204" s="55" t="str">
        <f>HYPERLINK("https://www.google.com/search?q=site%3Ainvest4edu.com%20%22bajaj%20allianz%20life%22&amp;num=100","🔍 Search Google")</f>
        <v>🔍 Search Google</v>
      </c>
    </row>
    <row r="205">
      <c r="A205" s="56">
        <v>204.0</v>
      </c>
      <c r="B205" s="57" t="s">
        <v>1287</v>
      </c>
      <c r="C205" s="57" t="s">
        <v>1287</v>
      </c>
      <c r="D205" s="58" t="s">
        <v>1288</v>
      </c>
      <c r="E205" s="59" t="str">
        <f>HYPERLINK("https://www.google.com/search?q=site%3Areliancesmartmoney.com%20%22bajaj%20allianz%20life%22&amp;num=100","🔍 Search Google")</f>
        <v>🔍 Search Google</v>
      </c>
    </row>
    <row r="206">
      <c r="A206" s="52">
        <v>205.0</v>
      </c>
      <c r="B206" s="53" t="s">
        <v>1289</v>
      </c>
      <c r="C206" s="53" t="s">
        <v>1289</v>
      </c>
      <c r="D206" s="54" t="s">
        <v>1290</v>
      </c>
      <c r="E206" s="55" t="str">
        <f>HYPERLINK("https://www.google.com/search?q=site%3Aclientassociates.com%20%22bajaj%20allianz%20life%22&amp;num=100","🔍 Search Google")</f>
        <v>🔍 Search Google</v>
      </c>
    </row>
    <row r="207">
      <c r="A207" s="56">
        <v>206.0</v>
      </c>
      <c r="B207" s="57" t="s">
        <v>1291</v>
      </c>
      <c r="C207" s="57" t="s">
        <v>1291</v>
      </c>
      <c r="D207" s="58" t="s">
        <v>1292</v>
      </c>
      <c r="E207" s="59" t="str">
        <f>HYPERLINK("https://www.google.com/search?q=site%3Avulcaninsurance.co.in%20%22bajaj%20allianz%20life%22&amp;num=100","🔍 Search Google")</f>
        <v>🔍 Search Google</v>
      </c>
    </row>
    <row r="208">
      <c r="A208" s="52">
        <v>207.0</v>
      </c>
      <c r="B208" s="53" t="s">
        <v>1293</v>
      </c>
      <c r="C208" s="53" t="s">
        <v>1293</v>
      </c>
      <c r="D208" s="54" t="s">
        <v>1294</v>
      </c>
      <c r="E208" s="55" t="str">
        <f>HYPERLINK("https://www.google.com/search?q=site%3Amanashreeins.com%20%22bajaj%20allianz%20life%22&amp;num=100","🔍 Search Google")</f>
        <v>🔍 Search Google</v>
      </c>
    </row>
    <row r="209">
      <c r="A209" s="56">
        <v>208.0</v>
      </c>
      <c r="B209" s="57" t="s">
        <v>1295</v>
      </c>
      <c r="C209" s="57" t="s">
        <v>1295</v>
      </c>
      <c r="D209" s="58" t="s">
        <v>1296</v>
      </c>
      <c r="E209" s="59" t="str">
        <f>HYPERLINK("https://www.google.com/search?q=site%3Aoslgroup.co.in%20%22bajaj%20allianz%20life%22&amp;num=100","🔍 Search Google")</f>
        <v>🔍 Search Google</v>
      </c>
    </row>
    <row r="210">
      <c r="A210" s="52">
        <v>209.0</v>
      </c>
      <c r="B210" s="53" t="s">
        <v>1297</v>
      </c>
      <c r="C210" s="53" t="s">
        <v>1297</v>
      </c>
      <c r="D210" s="54" t="s">
        <v>1298</v>
      </c>
      <c r="E210" s="55" t="str">
        <f>HYPERLINK("https://www.google.com/search?q=site%3Aarcssindia.com%20%22bajaj%20allianz%20life%22&amp;num=100","🔍 Search Google")</f>
        <v>🔍 Search Google</v>
      </c>
    </row>
    <row r="211">
      <c r="A211" s="56">
        <v>210.0</v>
      </c>
      <c r="B211" s="57" t="s">
        <v>1299</v>
      </c>
      <c r="C211" s="57" t="s">
        <v>1299</v>
      </c>
      <c r="D211" s="58" t="s">
        <v>1300</v>
      </c>
      <c r="E211" s="59" t="str">
        <f>HYPERLINK("https://www.google.com/search?q=site%3Ampinsurance.in%20%22bajaj%20allianz%20life%22&amp;num=100","🔍 Search Google")</f>
        <v>🔍 Search Google</v>
      </c>
    </row>
    <row r="212">
      <c r="A212" s="52">
        <v>211.0</v>
      </c>
      <c r="B212" s="53" t="s">
        <v>1301</v>
      </c>
      <c r="C212" s="53" t="s">
        <v>1301</v>
      </c>
      <c r="D212" s="54" t="s">
        <v>1302</v>
      </c>
      <c r="E212" s="55" t="str">
        <f>HYPERLINK("https://www.google.com/search?q=site%3Arminsurance.in%20%22bajaj%20allianz%20life%22&amp;num=100","🔍 Search Google")</f>
        <v>🔍 Search Google</v>
      </c>
    </row>
    <row r="213">
      <c r="A213" s="56">
        <v>212.0</v>
      </c>
      <c r="B213" s="57" t="s">
        <v>1303</v>
      </c>
      <c r="C213" s="57" t="s">
        <v>1303</v>
      </c>
      <c r="D213" s="58" t="s">
        <v>1304</v>
      </c>
      <c r="E213" s="59" t="str">
        <f>HYPERLINK("https://www.google.com/search?q=site%3Apulsecue.in%20%22bajaj%20allianz%20life%22&amp;num=100","🔍 Search Google")</f>
        <v>🔍 Search Google</v>
      </c>
    </row>
    <row r="214">
      <c r="A214" s="52">
        <v>213.0</v>
      </c>
      <c r="B214" s="53" t="s">
        <v>1305</v>
      </c>
      <c r="C214" s="53" t="s">
        <v>1305</v>
      </c>
      <c r="D214" s="54" t="s">
        <v>1306</v>
      </c>
      <c r="E214" s="55" t="str">
        <f>HYPERLINK("https://www.google.com/search?q=site%3Abluebellsinsurancebroking.com%20%22bajaj%20allianz%20life%22&amp;num=100","🔍 Search Google")</f>
        <v>🔍 Search Google</v>
      </c>
    </row>
    <row r="215">
      <c r="A215" s="56">
        <v>214.0</v>
      </c>
      <c r="B215" s="57" t="s">
        <v>1307</v>
      </c>
      <c r="C215" s="57" t="s">
        <v>1307</v>
      </c>
      <c r="D215" s="58" t="s">
        <v>1308</v>
      </c>
      <c r="E215" s="59" t="str">
        <f>HYPERLINK("https://www.google.com/search?q=site%3Apolicicue.com%20%22bajaj%20allianz%20life%22&amp;num=100","🔍 Search Google")</f>
        <v>🔍 Search Google</v>
      </c>
    </row>
    <row r="216">
      <c r="A216" s="52">
        <v>215.0</v>
      </c>
      <c r="B216" s="53" t="s">
        <v>1309</v>
      </c>
      <c r="C216" s="53" t="s">
        <v>1309</v>
      </c>
      <c r="D216" s="54" t="s">
        <v>1310</v>
      </c>
      <c r="E216" s="55" t="str">
        <f>HYPERLINK("https://www.google.com/search?q=site%3Akaninsure.com%20%22bajaj%20allianz%20life%22&amp;num=100","🔍 Search Google")</f>
        <v>🔍 Search Google</v>
      </c>
    </row>
    <row r="217">
      <c r="A217" s="56">
        <v>216.0</v>
      </c>
      <c r="B217" s="57" t="s">
        <v>1311</v>
      </c>
      <c r="C217" s="57" t="s">
        <v>1311</v>
      </c>
      <c r="D217" s="58" t="s">
        <v>1312</v>
      </c>
      <c r="E217" s="59" t="str">
        <f>HYPERLINK("https://www.google.com/search?q=site%3Apurpleumbrella.in%20%22bajaj%20allianz%20life%22&amp;num=100","🔍 Search Google")</f>
        <v>🔍 Search Google</v>
      </c>
    </row>
    <row r="218">
      <c r="A218" s="52">
        <v>217.0</v>
      </c>
      <c r="B218" s="53" t="s">
        <v>1313</v>
      </c>
      <c r="C218" s="53" t="s">
        <v>1313</v>
      </c>
      <c r="D218" s="54" t="s">
        <v>1314</v>
      </c>
      <c r="E218" s="55" t="str">
        <f>HYPERLINK("https://www.google.com/search?q=site%3Asgrlimited.in%20%22bajaj%20allianz%20life%22&amp;num=100","🔍 Search Google")</f>
        <v>🔍 Search Google</v>
      </c>
    </row>
    <row r="219">
      <c r="A219" s="56">
        <v>218.0</v>
      </c>
      <c r="B219" s="57" t="s">
        <v>1315</v>
      </c>
      <c r="C219" s="57" t="s">
        <v>1315</v>
      </c>
      <c r="D219" s="58" t="s">
        <v>1316</v>
      </c>
      <c r="E219" s="59" t="str">
        <f>HYPERLINK("https://www.google.com/search?q=site%3Acholamandalam.com%20%22bajaj%20allianz%20life%22&amp;num=100","🔍 Search Google")</f>
        <v>🔍 Search Google</v>
      </c>
    </row>
    <row r="220">
      <c r="A220" s="52">
        <v>219.0</v>
      </c>
      <c r="B220" s="53" t="s">
        <v>1317</v>
      </c>
      <c r="C220" s="53" t="s">
        <v>1317</v>
      </c>
      <c r="D220" s="54" t="s">
        <v>1318</v>
      </c>
      <c r="E220" s="55" t="str">
        <f>HYPERLINK("https://www.google.com/search?q=site%3Awmgwealth.in%20%22bajaj%20allianz%20life%22&amp;num=100","🔍 Search Google")</f>
        <v>🔍 Search Google</v>
      </c>
    </row>
    <row r="221">
      <c r="A221" s="56">
        <v>220.0</v>
      </c>
      <c r="B221" s="57" t="s">
        <v>1319</v>
      </c>
      <c r="C221" s="57" t="s">
        <v>1319</v>
      </c>
      <c r="D221" s="58" t="s">
        <v>1320</v>
      </c>
      <c r="E221" s="59" t="str">
        <f>HYPERLINK("https://www.google.com/search?q=site%3Apolicygrace.com%20%22bajaj%20allianz%20life%22&amp;num=100","🔍 Search Google")</f>
        <v>🔍 Search Google</v>
      </c>
    </row>
    <row r="222">
      <c r="A222" s="52">
        <v>221.0</v>
      </c>
      <c r="B222" s="53" t="s">
        <v>1321</v>
      </c>
      <c r="C222" s="53" t="s">
        <v>1321</v>
      </c>
      <c r="D222" s="54" t="s">
        <v>1322</v>
      </c>
      <c r="E222" s="55" t="str">
        <f>HYPERLINK("https://www.google.com/search?q=site%3Amigooinsurance.com%20%22bajaj%20allianz%20life%22&amp;num=100","🔍 Search Google")</f>
        <v>🔍 Search Google</v>
      </c>
    </row>
    <row r="223">
      <c r="A223" s="56">
        <v>222.0</v>
      </c>
      <c r="B223" s="57" t="s">
        <v>1323</v>
      </c>
      <c r="C223" s="57" t="s">
        <v>1323</v>
      </c>
      <c r="D223" s="58" t="s">
        <v>1324</v>
      </c>
      <c r="E223" s="59" t="str">
        <f>HYPERLINK("https://www.google.com/search?q=site%3Asaralinsurancebroking.com%20%22bajaj%20allianz%20life%22&amp;num=100","🔍 Search Google")</f>
        <v>🔍 Search Google</v>
      </c>
    </row>
    <row r="224">
      <c r="A224" s="52">
        <v>223.0</v>
      </c>
      <c r="B224" s="53" t="s">
        <v>1325</v>
      </c>
      <c r="C224" s="53" t="s">
        <v>1325</v>
      </c>
      <c r="D224" s="54" t="s">
        <v>1326</v>
      </c>
      <c r="E224" s="55" t="str">
        <f>HYPERLINK("https://www.google.com/search?q=site%3Ainsta-policy.com%20%22bajaj%20allianz%20life%22&amp;num=100","🔍 Search Google")</f>
        <v>🔍 Search Google</v>
      </c>
    </row>
    <row r="225">
      <c r="A225" s="56">
        <v>224.0</v>
      </c>
      <c r="B225" s="57" t="s">
        <v>1327</v>
      </c>
      <c r="C225" s="57" t="s">
        <v>1327</v>
      </c>
      <c r="D225" s="58" t="s">
        <v>1328</v>
      </c>
      <c r="E225" s="59" t="str">
        <f>HYPERLINK("https://www.google.com/search?q=site%3Aspsinsurance.in%20%22bajaj%20allianz%20life%22&amp;num=100","🔍 Search Google")</f>
        <v>🔍 Search Google</v>
      </c>
    </row>
    <row r="226">
      <c r="A226" s="52">
        <v>225.0</v>
      </c>
      <c r="B226" s="53" t="s">
        <v>1329</v>
      </c>
      <c r="C226" s="53" t="s">
        <v>1329</v>
      </c>
      <c r="D226" s="54" t="s">
        <v>1330</v>
      </c>
      <c r="E226" s="55" t="str">
        <f>HYPERLINK("https://www.google.com/search?q=site%3Agibl.in%20%22bajaj%20allianz%20life%22&amp;num=100","🔍 Search Google")</f>
        <v>🔍 Search Google</v>
      </c>
    </row>
    <row r="227">
      <c r="A227" s="56">
        <v>226.0</v>
      </c>
      <c r="B227" s="57" t="s">
        <v>1331</v>
      </c>
      <c r="C227" s="57" t="s">
        <v>1331</v>
      </c>
      <c r="D227" s="58" t="s">
        <v>1332</v>
      </c>
      <c r="E227" s="59" t="str">
        <f>HYPERLINK("https://www.google.com/search?q=site%3Afinhaat.com%20%22bajaj%20allianz%20life%22&amp;num=100","🔍 Search Google")</f>
        <v>🔍 Search Google</v>
      </c>
    </row>
    <row r="228">
      <c r="A228" s="52">
        <v>227.0</v>
      </c>
      <c r="B228" s="53" t="s">
        <v>1333</v>
      </c>
      <c r="C228" s="53" t="s">
        <v>1333</v>
      </c>
      <c r="D228" s="54" t="s">
        <v>1334</v>
      </c>
      <c r="E228" s="55" t="str">
        <f>HYPERLINK("https://www.google.com/search?q=site%3Aglobalfinsol.in%20%22bajaj%20allianz%20life%22&amp;num=100","🔍 Search Google")</f>
        <v>🔍 Search Google</v>
      </c>
    </row>
    <row r="229">
      <c r="A229" s="56">
        <v>228.0</v>
      </c>
      <c r="B229" s="57" t="s">
        <v>1335</v>
      </c>
      <c r="C229" s="57" t="s">
        <v>1335</v>
      </c>
      <c r="D229" s="58" t="s">
        <v>1336</v>
      </c>
      <c r="E229" s="59" t="str">
        <f>HYPERLINK("https://www.google.com/search?q=site%3Ageojit.com%20%22bajaj%20allianz%20life%22&amp;num=100","🔍 Search Google")</f>
        <v>🔍 Search Google</v>
      </c>
    </row>
    <row r="230">
      <c r="A230" s="52">
        <v>229.0</v>
      </c>
      <c r="B230" s="53" t="s">
        <v>1337</v>
      </c>
      <c r="C230" s="53" t="s">
        <v>1337</v>
      </c>
      <c r="D230" s="54" t="s">
        <v>1338</v>
      </c>
      <c r="E230" s="55" t="str">
        <f>HYPERLINK("https://www.google.com/search?q=site%3Apos.bajajcapitalinsurance.com%20%22bajaj%20allianz%20life%22&amp;num=100","🔍 Search Google")</f>
        <v>🔍 Search Google</v>
      </c>
    </row>
    <row r="231">
      <c r="A231" s="56">
        <v>230.0</v>
      </c>
      <c r="B231" s="57" t="s">
        <v>1339</v>
      </c>
      <c r="C231" s="57" t="s">
        <v>1339</v>
      </c>
      <c r="D231" s="58" t="s">
        <v>1340</v>
      </c>
      <c r="E231" s="59" t="str">
        <f>HYPERLINK("https://www.google.com/search?q=site%3Aanandrathi.com%20%22bajaj%20allianz%20life%22&amp;num=100","🔍 Search Google")</f>
        <v>🔍 Search Google</v>
      </c>
    </row>
    <row r="232">
      <c r="A232" s="52">
        <v>231.0</v>
      </c>
      <c r="B232" s="53" t="s">
        <v>1341</v>
      </c>
      <c r="C232" s="53" t="s">
        <v>1341</v>
      </c>
      <c r="D232" s="54" t="s">
        <v>1342</v>
      </c>
      <c r="E232" s="55" t="str">
        <f>HYPERLINK("https://www.google.com/search?q=site%3Aamco.bank.in%20%22bajaj%20allianz%20life%22&amp;num=100","🔍 Search Google")</f>
        <v>🔍 Search Google</v>
      </c>
    </row>
    <row r="233">
      <c r="A233" s="56">
        <v>232.0</v>
      </c>
      <c r="B233" s="57" t="s">
        <v>1343</v>
      </c>
      <c r="C233" s="57" t="s">
        <v>1343</v>
      </c>
      <c r="D233" s="58" t="s">
        <v>1344</v>
      </c>
      <c r="E233" s="59" t="str">
        <f>HYPERLINK("https://www.google.com/search?q=site%3Anamfin.in%20%22bajaj%20allianz%20life%22&amp;num=100","🔍 Search Google")</f>
        <v>🔍 Search Google</v>
      </c>
    </row>
    <row r="234">
      <c r="A234" s="52">
        <v>233.0</v>
      </c>
      <c r="B234" s="53" t="s">
        <v>1345</v>
      </c>
      <c r="C234" s="53" t="s">
        <v>1345</v>
      </c>
      <c r="D234" s="54" t="s">
        <v>1346</v>
      </c>
      <c r="E234" s="55" t="str">
        <f>HYPERLINK("https://www.google.com/search?q=site%3Ahibl.in%20%22bajaj%20allianz%20life%22&amp;num=100","🔍 Search Google")</f>
        <v>🔍 Search Google</v>
      </c>
    </row>
    <row r="235">
      <c r="A235" s="56">
        <v>234.0</v>
      </c>
      <c r="B235" s="57" t="s">
        <v>1347</v>
      </c>
      <c r="C235" s="57" t="s">
        <v>1347</v>
      </c>
      <c r="D235" s="58" t="s">
        <v>1348</v>
      </c>
      <c r="E235" s="59" t="str">
        <f>HYPERLINK("https://www.google.com/search?q=site%3Asupremacyinsurance.com%20%22bajaj%20allianz%20life%22&amp;num=100","🔍 Search Google")</f>
        <v>🔍 Search Google</v>
      </c>
    </row>
    <row r="236">
      <c r="A236" s="52">
        <v>235.0</v>
      </c>
      <c r="B236" s="53" t="s">
        <v>1349</v>
      </c>
      <c r="C236" s="53" t="s">
        <v>1349</v>
      </c>
      <c r="D236" s="54" t="s">
        <v>1350</v>
      </c>
      <c r="E236" s="55" t="str">
        <f>HYPERLINK("https://www.google.com/search?q=site%3Acoverton.in%20%22bajaj%20allianz%20life%22&amp;num=100","🔍 Search Google")</f>
        <v>🔍 Search Google</v>
      </c>
    </row>
    <row r="237">
      <c r="A237" s="56">
        <v>236.0</v>
      </c>
      <c r="B237" s="57" t="s">
        <v>1351</v>
      </c>
      <c r="C237" s="57" t="s">
        <v>1351</v>
      </c>
      <c r="D237" s="58" t="s">
        <v>1352</v>
      </c>
      <c r="E237" s="59" t="str">
        <f>HYPERLINK("https://www.google.com/search?q=site%3Abeyondtoday.in%20%22bajaj%20allianz%20life%22&amp;num=100","🔍 Search Google")</f>
        <v>🔍 Search Google</v>
      </c>
    </row>
    <row r="238">
      <c r="A238" s="52">
        <v>237.0</v>
      </c>
      <c r="B238" s="53" t="s">
        <v>1353</v>
      </c>
      <c r="C238" s="53" t="s">
        <v>1353</v>
      </c>
      <c r="D238" s="54" t="s">
        <v>1354</v>
      </c>
      <c r="E238" s="55" t="str">
        <f>HYPERLINK("https://www.google.com/search?q=site%3Aibexer.com%20%22bajaj%20allianz%20life%22&amp;num=100","🔍 Search Google")</f>
        <v>🔍 Search Google</v>
      </c>
    </row>
    <row r="239">
      <c r="A239" s="56">
        <v>238.0</v>
      </c>
      <c r="B239" s="57" t="s">
        <v>1355</v>
      </c>
      <c r="C239" s="57" t="s">
        <v>1355</v>
      </c>
      <c r="D239" s="58" t="s">
        <v>1356</v>
      </c>
      <c r="E239" s="59" t="str">
        <f>HYPERLINK("https://www.google.com/search?q=site%3Acapalin.com%20%22bajaj%20allianz%20life%22&amp;num=100","🔍 Search Google")</f>
        <v>🔍 Search Google</v>
      </c>
    </row>
    <row r="240">
      <c r="A240" s="52">
        <v>239.0</v>
      </c>
      <c r="B240" s="53" t="s">
        <v>1357</v>
      </c>
      <c r="C240" s="53" t="s">
        <v>1357</v>
      </c>
      <c r="D240" s="54" t="s">
        <v>1358</v>
      </c>
      <c r="E240" s="55" t="str">
        <f>HYPERLINK("https://www.google.com/search?q=site%3Asignaturebrokers.in%20%22bajaj%20allianz%20life%22&amp;num=100","🔍 Search Google")</f>
        <v>🔍 Search Google</v>
      </c>
    </row>
    <row r="241">
      <c r="A241" s="56">
        <v>240.0</v>
      </c>
      <c r="B241" s="57" t="s">
        <v>1359</v>
      </c>
      <c r="C241" s="57" t="s">
        <v>1359</v>
      </c>
      <c r="D241" s="58" t="s">
        <v>1360</v>
      </c>
      <c r="E241" s="59" t="str">
        <f>HYPERLINK("https://www.google.com/search?q=site%3Apcsinsurance.co.in%20%22bajaj%20allianz%20life%22&amp;num=100","🔍 Search Google")</f>
        <v>🔍 Search Google</v>
      </c>
    </row>
    <row r="242">
      <c r="A242" s="52">
        <v>241.0</v>
      </c>
      <c r="B242" s="53" t="s">
        <v>1361</v>
      </c>
      <c r="C242" s="53" t="s">
        <v>1361</v>
      </c>
      <c r="D242" s="54" t="s">
        <v>1362</v>
      </c>
      <c r="E242" s="55" t="str">
        <f>HYPERLINK("https://www.google.com/search?q=site%3Abeemaaa.com%20%22bajaj%20allianz%20life%22&amp;num=100","🔍 Search Google")</f>
        <v>🔍 Search Google</v>
      </c>
    </row>
    <row r="243">
      <c r="A243" s="56">
        <v>242.0</v>
      </c>
      <c r="B243" s="57" t="s">
        <v>1363</v>
      </c>
      <c r="C243" s="57" t="s">
        <v>1363</v>
      </c>
      <c r="D243" s="58" t="s">
        <v>1364</v>
      </c>
      <c r="E243" s="59" t="str">
        <f>HYPERLINK("https://www.google.com/search?q=site%3Aadvanceindiabrokers.com%20%22bajaj%20allianz%20life%22&amp;num=100","🔍 Search Google")</f>
        <v>🔍 Search Google</v>
      </c>
    </row>
    <row r="244">
      <c r="A244" s="52">
        <v>243.0</v>
      </c>
      <c r="B244" s="53" t="s">
        <v>1365</v>
      </c>
      <c r="C244" s="53" t="s">
        <v>1365</v>
      </c>
      <c r="D244" s="54" t="s">
        <v>1366</v>
      </c>
      <c r="E244" s="55" t="str">
        <f>HYPERLINK("https://www.google.com/search?q=site%3Arohahousing.com%20%22bajaj%20allianz%20life%22&amp;num=100","🔍 Search Google")</f>
        <v>🔍 Search Google</v>
      </c>
    </row>
    <row r="245">
      <c r="A245" s="56">
        <v>244.0</v>
      </c>
      <c r="B245" s="57" t="s">
        <v>1367</v>
      </c>
      <c r="C245" s="57" t="s">
        <v>1367</v>
      </c>
      <c r="D245" s="58" t="s">
        <v>1368</v>
      </c>
      <c r="E245" s="59" t="str">
        <f>HYPERLINK("https://www.google.com/search?q=site%3Apaulmerchantsfin.com%20%22bajaj%20allianz%20life%22&amp;num=100","🔍 Search Google")</f>
        <v>🔍 Search Google</v>
      </c>
    </row>
    <row r="246">
      <c r="A246" s="52">
        <v>245.0</v>
      </c>
      <c r="B246" s="53" t="s">
        <v>1369</v>
      </c>
      <c r="C246" s="53" t="s">
        <v>1369</v>
      </c>
      <c r="D246" s="54" t="s">
        <v>1370</v>
      </c>
      <c r="E246" s="55" t="str">
        <f>HYPERLINK("https://www.google.com/search?q=site%3Afuturefirstindia.com%20%22bajaj%20allianz%20life%22&amp;num=100","🔍 Search Google")</f>
        <v>🔍 Search Google</v>
      </c>
    </row>
    <row r="247">
      <c r="A247" s="56">
        <v>246.0</v>
      </c>
      <c r="B247" s="57" t="s">
        <v>1371</v>
      </c>
      <c r="C247" s="57" t="s">
        <v>1371</v>
      </c>
      <c r="D247" s="58" t="s">
        <v>1372</v>
      </c>
      <c r="E247" s="59" t="str">
        <f>HYPERLINK("https://www.google.com/search?q=site%3Avimainsurance.com%20%22bajaj%20allianz%20life%22&amp;num=100","🔍 Search Google")</f>
        <v>🔍 Search Google</v>
      </c>
    </row>
    <row r="248">
      <c r="A248" s="52">
        <v>247.0</v>
      </c>
      <c r="B248" s="53" t="s">
        <v>1373</v>
      </c>
      <c r="C248" s="53" t="s">
        <v>1373</v>
      </c>
      <c r="D248" s="54" t="s">
        <v>1374</v>
      </c>
      <c r="E248" s="55" t="str">
        <f>HYPERLINK("https://www.google.com/search?q=site%3Atrustner.in%20%22bajaj%20allianz%20life%22&amp;num=100","🔍 Search Google")</f>
        <v>🔍 Search Google</v>
      </c>
    </row>
    <row r="249">
      <c r="A249" s="56">
        <v>248.0</v>
      </c>
      <c r="B249" s="57" t="s">
        <v>1375</v>
      </c>
      <c r="C249" s="57" t="s">
        <v>1375</v>
      </c>
      <c r="D249" s="58" t="s">
        <v>1376</v>
      </c>
      <c r="E249" s="59" t="str">
        <f>HYPERLINK("https://www.google.com/search?q=site%3Asvojasinsurancebrokers.com%20%22bajaj%20allianz%20life%22&amp;num=100","🔍 Search Google")</f>
        <v>🔍 Search Google</v>
      </c>
    </row>
    <row r="250">
      <c r="A250" s="52">
        <v>249.0</v>
      </c>
      <c r="B250" s="53" t="s">
        <v>1377</v>
      </c>
      <c r="C250" s="53" t="s">
        <v>1377</v>
      </c>
      <c r="D250" s="54" t="s">
        <v>1378</v>
      </c>
      <c r="E250" s="55" t="str">
        <f>HYPERLINK("https://www.google.com/search?q=site%3Aharitainsurancebroking.com%20%22bajaj%20allianz%20life%22&amp;num=100","🔍 Search Google")</f>
        <v>🔍 Search Google</v>
      </c>
    </row>
    <row r="251">
      <c r="A251" s="56">
        <v>250.0</v>
      </c>
      <c r="B251" s="57" t="s">
        <v>1379</v>
      </c>
      <c r="C251" s="57" t="s">
        <v>1379</v>
      </c>
      <c r="D251" s="58" t="s">
        <v>1380</v>
      </c>
      <c r="E251" s="59" t="str">
        <f>HYPERLINK("https://www.google.com/search?q=site%3Ajmflhomeloans.com%20%22bajaj%20allianz%20life%22&amp;num=100","🔍 Search Google")</f>
        <v>🔍 Search Google</v>
      </c>
    </row>
    <row r="252">
      <c r="A252" s="52">
        <v>251.0</v>
      </c>
      <c r="B252" s="53" t="s">
        <v>1381</v>
      </c>
      <c r="C252" s="53" t="s">
        <v>1381</v>
      </c>
      <c r="D252" s="54" t="s">
        <v>1382</v>
      </c>
      <c r="E252" s="55" t="str">
        <f>HYPERLINK("https://www.google.com/search?q=site%3Aindiashelter.in%20%22bajaj%20allianz%20life%22&amp;num=100","🔍 Search Google")</f>
        <v>🔍 Search Google</v>
      </c>
    </row>
    <row r="253">
      <c r="A253" s="56">
        <v>252.0</v>
      </c>
      <c r="B253" s="57" t="s">
        <v>1383</v>
      </c>
      <c r="C253" s="57" t="s">
        <v>1383</v>
      </c>
      <c r="D253" s="58" t="s">
        <v>1384</v>
      </c>
      <c r="E253" s="59" t="str">
        <f>HYPERLINK("https://www.google.com/search?q=site%3Awbgb.bank.in%20%22bajaj%20allianz%20life%22&amp;num=100","🔍 Search Google")</f>
        <v>🔍 Search Google</v>
      </c>
    </row>
    <row r="254">
      <c r="A254" s="52">
        <v>253.0</v>
      </c>
      <c r="B254" s="53" t="s">
        <v>1385</v>
      </c>
      <c r="C254" s="53" t="s">
        <v>1385</v>
      </c>
      <c r="D254" s="54" t="s">
        <v>1386</v>
      </c>
      <c r="E254" s="55" t="str">
        <f>HYPERLINK("https://www.google.com/search?q=site%3Acars24.com%20%22bajaj%20allianz%20life%22&amp;num=100","🔍 Search Google")</f>
        <v>🔍 Search Google</v>
      </c>
    </row>
    <row r="255">
      <c r="A255" s="56">
        <v>254.0</v>
      </c>
      <c r="B255" s="57" t="s">
        <v>1387</v>
      </c>
      <c r="C255" s="57" t="s">
        <v>1387</v>
      </c>
      <c r="D255" s="58" t="s">
        <v>1388</v>
      </c>
      <c r="E255" s="59" t="str">
        <f>HYPERLINK("https://www.google.com/search?q=site%3Aplanswellib.com%20%22bajaj%20allianz%20life%22&amp;num=100","🔍 Search Google")</f>
        <v>🔍 Search Google</v>
      </c>
    </row>
    <row r="256">
      <c r="A256" s="52">
        <v>255.0</v>
      </c>
      <c r="B256" s="53" t="s">
        <v>1389</v>
      </c>
      <c r="C256" s="53" t="s">
        <v>1389</v>
      </c>
      <c r="D256" s="54" t="s">
        <v>1390</v>
      </c>
      <c r="E256" s="55" t="str">
        <f>HYPERLINK("https://www.google.com/search?q=site%3Ariskbirbal.com%20%22bajaj%20allianz%20life%22&amp;num=100","🔍 Search Google")</f>
        <v>🔍 Search Google</v>
      </c>
    </row>
    <row r="257">
      <c r="A257" s="56">
        <v>256.0</v>
      </c>
      <c r="B257" s="57" t="s">
        <v>1391</v>
      </c>
      <c r="C257" s="57" t="s">
        <v>1391</v>
      </c>
      <c r="D257" s="58" t="s">
        <v>1392</v>
      </c>
      <c r="E257" s="59" t="str">
        <f>HYPERLINK("https://www.google.com/search?q=site%3Arrpolicy.com%20%22bajaj%20allianz%20life%22&amp;num=100","🔍 Search Google")</f>
        <v>🔍 Search Google</v>
      </c>
    </row>
    <row r="258">
      <c r="A258" s="52">
        <v>257.0</v>
      </c>
      <c r="B258" s="53" t="s">
        <v>1393</v>
      </c>
      <c r="C258" s="53" t="s">
        <v>1393</v>
      </c>
      <c r="D258" s="54" t="s">
        <v>1394</v>
      </c>
      <c r="E258" s="55" t="str">
        <f>HYPERLINK("https://www.google.com/search?q=site%3Abimabro.com%20%22bajaj%20allianz%20life%22&amp;num=100","🔍 Search Google")</f>
        <v>🔍 Search Google</v>
      </c>
    </row>
    <row r="259">
      <c r="A259" s="56">
        <v>258.0</v>
      </c>
      <c r="B259" s="57" t="s">
        <v>1395</v>
      </c>
      <c r="C259" s="57" t="s">
        <v>1395</v>
      </c>
      <c r="D259" s="58" t="s">
        <v>1396</v>
      </c>
      <c r="E259" s="59" t="str">
        <f>HYPERLINK("https://www.google.com/search?q=site%3Anainitalbank.bank.in%20%22bajaj%20allianz%20life%22&amp;num=100","🔍 Search Google")</f>
        <v>🔍 Search Google</v>
      </c>
    </row>
    <row r="260">
      <c r="A260" s="52">
        <v>259.0</v>
      </c>
      <c r="B260" s="53" t="s">
        <v>1397</v>
      </c>
      <c r="C260" s="53" t="s">
        <v>1397</v>
      </c>
      <c r="D260" s="54" t="s">
        <v>1398</v>
      </c>
      <c r="E260" s="55" t="str">
        <f>HYPERLINK("https://www.google.com/search?q=site%3Aapgb.bank.in%20%22bajaj%20allianz%20life%22&amp;num=100","🔍 Search Google")</f>
        <v>🔍 Search Google</v>
      </c>
    </row>
    <row r="261">
      <c r="A261" s="56">
        <v>260.0</v>
      </c>
      <c r="B261" s="57" t="s">
        <v>1399</v>
      </c>
      <c r="C261" s="57" t="s">
        <v>1399</v>
      </c>
      <c r="D261" s="58" t="s">
        <v>1400</v>
      </c>
      <c r="E261" s="59" t="str">
        <f>HYPERLINK("https://www.google.com/search?q=site%3Aderisq.com%20%22bajaj%20allianz%20life%22&amp;num=100","🔍 Search Google")</f>
        <v>🔍 Search Google</v>
      </c>
    </row>
    <row r="262">
      <c r="A262" s="52">
        <v>261.0</v>
      </c>
      <c r="B262" s="53" t="s">
        <v>1401</v>
      </c>
      <c r="C262" s="53" t="s">
        <v>1401</v>
      </c>
      <c r="D262" s="54" t="s">
        <v>1402</v>
      </c>
      <c r="E262" s="55" t="str">
        <f>HYPERLINK("https://www.google.com/search?q=site%3Awinsurance.in%20%22bajaj%20allianz%20life%22&amp;num=100","🔍 Search Google")</f>
        <v>🔍 Search Google</v>
      </c>
    </row>
    <row r="263">
      <c r="A263" s="56">
        <v>262.0</v>
      </c>
      <c r="B263" s="57" t="s">
        <v>1403</v>
      </c>
      <c r="C263" s="57" t="s">
        <v>1403</v>
      </c>
      <c r="D263" s="58" t="s">
        <v>1404</v>
      </c>
      <c r="E263" s="59" t="str">
        <f>HYPERLINK("https://www.google.com/search?q=site%3Aakshayagroup.net%20%22bajaj%20allianz%20life%22&amp;num=100","🔍 Search Google")</f>
        <v>🔍 Search Google</v>
      </c>
    </row>
    <row r="264">
      <c r="A264" s="52">
        <v>263.0</v>
      </c>
      <c r="B264" s="53" t="s">
        <v>1405</v>
      </c>
      <c r="C264" s="53" t="s">
        <v>1405</v>
      </c>
      <c r="D264" s="54" t="s">
        <v>1406</v>
      </c>
      <c r="E264" s="55" t="str">
        <f>HYPERLINK("https://www.google.com/search?q=site%3Aapollo247insurance.com%20%22bajaj%20allianz%20life%22&amp;num=100","🔍 Search Google")</f>
        <v>🔍 Search Google</v>
      </c>
    </row>
    <row r="265">
      <c r="A265" s="56">
        <v>264.0</v>
      </c>
      <c r="B265" s="57" t="s">
        <v>1407</v>
      </c>
      <c r="C265" s="57" t="s">
        <v>1407</v>
      </c>
      <c r="D265" s="58" t="s">
        <v>1408</v>
      </c>
      <c r="E265" s="59" t="str">
        <f>HYPERLINK("https://www.google.com/search?q=site%3Adevanshinsurance.com%20%22bajaj%20allianz%20life%22&amp;num=100","🔍 Search Google")</f>
        <v>🔍 Search Google</v>
      </c>
    </row>
    <row r="266">
      <c r="A266" s="52">
        <v>265.0</v>
      </c>
      <c r="B266" s="53" t="s">
        <v>1409</v>
      </c>
      <c r="C266" s="53" t="s">
        <v>1409</v>
      </c>
      <c r="D266" s="54" t="s">
        <v>1410</v>
      </c>
      <c r="E266" s="55" t="str">
        <f>HYPERLINK("https://www.google.com/search?q=site%3Abelstar.in%20%22bajaj%20allianz%20life%22&amp;num=100","🔍 Search Google")</f>
        <v>🔍 Search Google</v>
      </c>
    </row>
    <row r="267">
      <c r="A267" s="56">
        <v>266.0</v>
      </c>
      <c r="B267" s="57" t="s">
        <v>1411</v>
      </c>
      <c r="C267" s="57" t="s">
        <v>1411</v>
      </c>
      <c r="D267" s="58" t="s">
        <v>1412</v>
      </c>
      <c r="E267" s="59" t="str">
        <f>HYPERLINK("https://www.google.com/search?q=site%3Acoverkraft.com%20%22bajaj%20allianz%20life%22&amp;num=100","🔍 Search Google")</f>
        <v>🔍 Search Google</v>
      </c>
    </row>
    <row r="268">
      <c r="A268" s="52">
        <v>267.0</v>
      </c>
      <c r="B268" s="53" t="s">
        <v>1413</v>
      </c>
      <c r="C268" s="53" t="s">
        <v>1413</v>
      </c>
      <c r="D268" s="54" t="s">
        <v>1414</v>
      </c>
      <c r="E268" s="55" t="str">
        <f>HYPERLINK("https://www.google.com/search?q=site%3Afusionfin.com%20%22bajaj%20allianz%20life%22&amp;num=100","🔍 Search Google")</f>
        <v>🔍 Search Google</v>
      </c>
    </row>
    <row r="269">
      <c r="A269" s="56">
        <v>268.0</v>
      </c>
      <c r="B269" s="57" t="s">
        <v>1415</v>
      </c>
      <c r="C269" s="57" t="s">
        <v>1415</v>
      </c>
      <c r="D269" s="58" t="s">
        <v>1416</v>
      </c>
      <c r="E269" s="59" t="str">
        <f>HYPERLINK("https://www.google.com/search?q=site%3Aaltumcredo.co.in%20%22bajaj%20allianz%20life%22&amp;num=100","🔍 Search Google")</f>
        <v>🔍 Search Google</v>
      </c>
    </row>
    <row r="270">
      <c r="A270" s="52">
        <v>269.0</v>
      </c>
      <c r="B270" s="53" t="s">
        <v>1417</v>
      </c>
      <c r="C270" s="53" t="s">
        <v>1417</v>
      </c>
      <c r="D270" s="54" t="s">
        <v>1418</v>
      </c>
      <c r="E270" s="55" t="str">
        <f>HYPERLINK("https://www.google.com/search?q=site%3Aaliceblueonline.com%20%22bajaj%20allianz%20life%22&amp;num=100","🔍 Search Google")</f>
        <v>🔍 Search Google</v>
      </c>
    </row>
    <row r="271">
      <c r="A271" s="56">
        <v>270.0</v>
      </c>
      <c r="B271" s="57" t="s">
        <v>1419</v>
      </c>
      <c r="C271" s="57" t="s">
        <v>1419</v>
      </c>
      <c r="D271" s="58" t="s">
        <v>1420</v>
      </c>
      <c r="E271" s="59" t="str">
        <f>HYPERLINK("https://www.google.com/search?q=site%3Aarhamshare.com%20%22bajaj%20allianz%20life%22&amp;num=100","🔍 Search Google")</f>
        <v>🔍 Search Google</v>
      </c>
    </row>
    <row r="272">
      <c r="A272" s="52">
        <v>271.0</v>
      </c>
      <c r="B272" s="53" t="s">
        <v>1421</v>
      </c>
      <c r="C272" s="53" t="s">
        <v>1421</v>
      </c>
      <c r="D272" s="54" t="s">
        <v>1422</v>
      </c>
      <c r="E272" s="55" t="str">
        <f>HYPERLINK("https://www.google.com/search?q=site%3Aadityabirlacapital.com%20%22bajaj%20allianz%20life%22&amp;num=100","🔍 Search Google")</f>
        <v>🔍 Search Google</v>
      </c>
    </row>
    <row r="273">
      <c r="A273" s="56">
        <v>272.0</v>
      </c>
      <c r="B273" s="57" t="s">
        <v>1423</v>
      </c>
      <c r="C273" s="57" t="s">
        <v>1423</v>
      </c>
      <c r="D273" s="58" t="s">
        <v>1424</v>
      </c>
      <c r="E273" s="59" t="str">
        <f>HYPERLINK("https://www.google.com/search?q=site%3Aaskfinancials.com%20%22bajaj%20allianz%20life%22&amp;num=100","🔍 Search Google")</f>
        <v>🔍 Search Google</v>
      </c>
    </row>
    <row r="274">
      <c r="A274" s="52">
        <v>273.0</v>
      </c>
      <c r="B274" s="53" t="s">
        <v>1425</v>
      </c>
      <c r="C274" s="53" t="s">
        <v>1425</v>
      </c>
      <c r="D274" s="54" t="s">
        <v>1426</v>
      </c>
      <c r="E274" s="55" t="str">
        <f>HYPERLINK("https://www.google.com/search?q=site%3Amahagramin.in%20%22bajaj%20allianz%20life%22&amp;num=100","🔍 Search Google")</f>
        <v>🔍 Search Google</v>
      </c>
    </row>
    <row r="275">
      <c r="A275" s="56">
        <v>274.0</v>
      </c>
      <c r="B275" s="57" t="s">
        <v>1427</v>
      </c>
      <c r="C275" s="57" t="s">
        <v>1427</v>
      </c>
      <c r="D275" s="58" t="s">
        <v>1428</v>
      </c>
      <c r="E275" s="59" t="str">
        <f>HYPERLINK("https://www.google.com/search?q=site%3Amotilaloswal.com%20%22bajaj%20allianz%20life%22&amp;num=100","🔍 Search Google")</f>
        <v>🔍 Search Google</v>
      </c>
    </row>
    <row r="276">
      <c r="A276" s="52">
        <v>275.0</v>
      </c>
      <c r="B276" s="53" t="s">
        <v>1429</v>
      </c>
      <c r="C276" s="53" t="s">
        <v>1429</v>
      </c>
      <c r="D276" s="54" t="s">
        <v>1430</v>
      </c>
      <c r="E276" s="55" t="str">
        <f>HYPERLINK("https://www.google.com/search?q=site%3Abajajcapitalinsurance.com%20%22bajaj%20allianz%20life%22&amp;num=100","🔍 Search Google")</f>
        <v>🔍 Search Google</v>
      </c>
    </row>
    <row r="277">
      <c r="A277" s="56">
        <v>276.0</v>
      </c>
      <c r="B277" s="57" t="s">
        <v>1431</v>
      </c>
      <c r="C277" s="57" t="s">
        <v>1431</v>
      </c>
      <c r="D277" s="58" t="s">
        <v>1432</v>
      </c>
      <c r="E277" s="59" t="str">
        <f>HYPERLINK("https://www.google.com/search?q=site%3Azaubacorp.com%20%22bajaj%20allianz%20life%22&amp;num=100","🔍 Search Google")</f>
        <v>🔍 Search Google</v>
      </c>
    </row>
    <row r="278">
      <c r="A278" s="52">
        <v>277.0</v>
      </c>
      <c r="B278" s="53" t="s">
        <v>1433</v>
      </c>
      <c r="C278" s="53" t="s">
        <v>1433</v>
      </c>
      <c r="D278" s="54" t="s">
        <v>1434</v>
      </c>
      <c r="E278" s="55" t="str">
        <f>HYPERLINK("https://www.google.com/search?q=site%3Abluechipindia.co.in%20%22bajaj%20allianz%20life%22&amp;num=100","🔍 Search Google")</f>
        <v>🔍 Search Google</v>
      </c>
    </row>
    <row r="279">
      <c r="A279" s="56">
        <v>278.0</v>
      </c>
      <c r="B279" s="57" t="s">
        <v>1435</v>
      </c>
      <c r="C279" s="57" t="s">
        <v>1435</v>
      </c>
      <c r="D279" s="58" t="s">
        <v>1436</v>
      </c>
      <c r="E279" s="59" t="str">
        <f>HYPERLINK("https://www.google.com/search?q=site%3Abenefitme.co.in%20%22bajaj%20allianz%20life%22&amp;num=100","🔍 Search Google")</f>
        <v>🔍 Search Google</v>
      </c>
    </row>
    <row r="280">
      <c r="A280" s="52">
        <v>279.0</v>
      </c>
      <c r="B280" s="53" t="s">
        <v>1437</v>
      </c>
      <c r="C280" s="53" t="s">
        <v>1437</v>
      </c>
      <c r="D280" s="54" t="s">
        <v>1438</v>
      </c>
      <c r="E280" s="55" t="str">
        <f>HYPERLINK("https://www.google.com/search?q=site%3Aanandrathiinsurance.com%20%22bajaj%20allianz%20life%22&amp;num=100","🔍 Search Google")</f>
        <v>🔍 Search Google</v>
      </c>
    </row>
    <row r="281">
      <c r="A281" s="56">
        <v>280.0</v>
      </c>
      <c r="B281" s="57" t="s">
        <v>1439</v>
      </c>
      <c r="C281" s="57" t="s">
        <v>1439</v>
      </c>
      <c r="D281" s="58" t="s">
        <v>1440</v>
      </c>
      <c r="E281" s="59" t="str">
        <f>HYPERLINK("https://www.google.com/search?q=site%3Asalasarservices.com%20%22bajaj%20allianz%20life%22&amp;num=100","🔍 Search Google")</f>
        <v>🔍 Search Google</v>
      </c>
    </row>
    <row r="282">
      <c r="A282" s="52">
        <v>281.0</v>
      </c>
      <c r="B282" s="53" t="s">
        <v>1441</v>
      </c>
      <c r="C282" s="53" t="s">
        <v>1441</v>
      </c>
      <c r="D282" s="54" t="s">
        <v>1442</v>
      </c>
      <c r="E282" s="55" t="str">
        <f>HYPERLINK("https://www.google.com/search?q=site%3Aturtlemintinsurance.com%20%22bajaj%20allianz%20life%22&amp;num=100","🔍 Search Google")</f>
        <v>🔍 Search Google</v>
      </c>
    </row>
    <row r="283">
      <c r="A283" s="56">
        <v>282.0</v>
      </c>
      <c r="B283" s="57" t="s">
        <v>1443</v>
      </c>
      <c r="C283" s="57" t="s">
        <v>1443</v>
      </c>
      <c r="D283" s="58" t="s">
        <v>1444</v>
      </c>
      <c r="E283" s="59" t="str">
        <f>HYPERLINK("https://www.google.com/search?q=site%3Avizzainsurance.com%20%22bajaj%20allianz%20life%22&amp;num=100","🔍 Search Google")</f>
        <v>🔍 Search Google</v>
      </c>
    </row>
    <row r="284">
      <c r="A284" s="52">
        <v>283.0</v>
      </c>
      <c r="B284" s="53" t="s">
        <v>1445</v>
      </c>
      <c r="C284" s="53" t="s">
        <v>1445</v>
      </c>
      <c r="D284" s="54" t="s">
        <v>1446</v>
      </c>
      <c r="E284" s="55" t="str">
        <f>HYPERLINK("https://www.google.com/search?q=site%3Amuthootinsurancebrokers.com%20%22bajaj%20allianz%20life%22&amp;num=100","🔍 Search Google")</f>
        <v>🔍 Search Google</v>
      </c>
    </row>
    <row r="285">
      <c r="A285" s="56">
        <v>284.0</v>
      </c>
      <c r="B285" s="57" t="s">
        <v>1447</v>
      </c>
      <c r="C285" s="57" t="s">
        <v>1447</v>
      </c>
      <c r="D285" s="58" t="s">
        <v>1448</v>
      </c>
      <c r="E285" s="59" t="str">
        <f>HYPERLINK("https://www.google.com/search?q=site%3Aallianceinsurance.in%20%22bajaj%20allianz%20life%22&amp;num=100","🔍 Search Google")</f>
        <v>🔍 Search Google</v>
      </c>
    </row>
    <row r="286">
      <c r="A286" s="52">
        <v>285.0</v>
      </c>
      <c r="B286" s="53" t="s">
        <v>1449</v>
      </c>
      <c r="C286" s="53" t="s">
        <v>1449</v>
      </c>
      <c r="D286" s="54" t="s">
        <v>1450</v>
      </c>
      <c r="E286" s="55" t="str">
        <f>HYPERLINK("https://www.google.com/search?q=site%3Aprobusinsurance.com%20%22bajaj%20allianz%20life%22&amp;num=100","🔍 Search Google")</f>
        <v>🔍 Search Google</v>
      </c>
    </row>
    <row r="287">
      <c r="A287" s="56">
        <v>286.0</v>
      </c>
      <c r="B287" s="57" t="s">
        <v>1451</v>
      </c>
      <c r="C287" s="57" t="s">
        <v>1451</v>
      </c>
      <c r="D287" s="58" t="s">
        <v>1452</v>
      </c>
      <c r="E287" s="59" t="str">
        <f>HYPERLINK("https://www.google.com/search?q=site%3Aprathamaupbank.com%20%22bajaj%20allianz%20life%22&amp;num=100","🔍 Search Google")</f>
        <v>🔍 Search Google</v>
      </c>
    </row>
    <row r="288">
      <c r="A288" s="52">
        <v>287.0</v>
      </c>
      <c r="B288" s="53" t="s">
        <v>1453</v>
      </c>
      <c r="C288" s="53" t="s">
        <v>1453</v>
      </c>
      <c r="D288" s="54" t="s">
        <v>1454</v>
      </c>
      <c r="E288" s="55" t="str">
        <f>HYPERLINK("https://www.google.com/search?q=site%3Abeacon.co.in%20%22bajaj%20allianz%20life%22&amp;num=100","🔍 Search Google")</f>
        <v>🔍 Search Google</v>
      </c>
    </row>
    <row r="289">
      <c r="A289" s="56">
        <v>288.0</v>
      </c>
      <c r="B289" s="57" t="s">
        <v>1455</v>
      </c>
      <c r="C289" s="57" t="s">
        <v>1455</v>
      </c>
      <c r="D289" s="58" t="s">
        <v>1456</v>
      </c>
      <c r="E289" s="59" t="str">
        <f>HYPERLINK("https://www.google.com/search?q=site%3Anjgroup.in%20%22bajaj%20allianz%20life%22&amp;num=100","🔍 Search Google")</f>
        <v>🔍 Search Google</v>
      </c>
    </row>
    <row r="290">
      <c r="A290" s="52">
        <v>289.0</v>
      </c>
      <c r="B290" s="53" t="s">
        <v>1457</v>
      </c>
      <c r="C290" s="53" t="s">
        <v>1457</v>
      </c>
      <c r="D290" s="54" t="s">
        <v>1458</v>
      </c>
      <c r="E290" s="55" t="str">
        <f>HYPERLINK("https://www.google.com/search?q=site%3Aarunayainsurance.in%20%22bajaj%20allianz%20life%22&amp;num=100","🔍 Search Google")</f>
        <v>🔍 Search Google</v>
      </c>
    </row>
    <row r="291">
      <c r="A291" s="56">
        <v>290.0</v>
      </c>
      <c r="B291" s="57" t="s">
        <v>1459</v>
      </c>
      <c r="C291" s="57" t="s">
        <v>1459</v>
      </c>
      <c r="D291" s="58" t="s">
        <v>1460</v>
      </c>
      <c r="E291" s="59" t="str">
        <f>HYPERLINK("https://www.google.com/search?q=site%3Alivlonginsurance.com%20%22bajaj%20allianz%20life%22&amp;num=100","🔍 Search Google")</f>
        <v>🔍 Search Google</v>
      </c>
    </row>
    <row r="292">
      <c r="A292" s="52">
        <v>291.0</v>
      </c>
      <c r="B292" s="53" t="s">
        <v>1461</v>
      </c>
      <c r="C292" s="53" t="s">
        <v>1461</v>
      </c>
      <c r="D292" s="54" t="s">
        <v>1462</v>
      </c>
      <c r="E292" s="55" t="str">
        <f>HYPERLINK("https://www.google.com/search?q=site%3Atrustline.in%20%22bajaj%20allianz%20life%22&amp;num=100","🔍 Search Google")</f>
        <v>🔍 Search Google</v>
      </c>
    </row>
    <row r="293">
      <c r="A293" s="56">
        <v>292.0</v>
      </c>
      <c r="B293" s="57" t="s">
        <v>1463</v>
      </c>
      <c r="C293" s="57" t="s">
        <v>1463</v>
      </c>
      <c r="D293" s="58" t="s">
        <v>1464</v>
      </c>
      <c r="E293" s="59" t="str">
        <f>HYPERLINK("https://www.google.com/search?q=site%3Asmcinsurance.com%20%22bajaj%20allianz%20life%22&amp;num=100","🔍 Search Google")</f>
        <v>🔍 Search Google</v>
      </c>
    </row>
    <row r="294">
      <c r="A294" s="52">
        <v>293.0</v>
      </c>
      <c r="B294" s="53" t="s">
        <v>1465</v>
      </c>
      <c r="C294" s="53" t="s">
        <v>1465</v>
      </c>
      <c r="D294" s="54" t="s">
        <v>1466</v>
      </c>
      <c r="E294" s="55" t="str">
        <f>HYPERLINK("https://www.google.com/search?q=site%3Aprovidenceindia.in%20%22bajaj%20allianz%20life%22&amp;num=100","🔍 Search Google")</f>
        <v>🔍 Search Google</v>
      </c>
    </row>
    <row r="295">
      <c r="A295" s="56">
        <v>294.0</v>
      </c>
      <c r="B295" s="57" t="s">
        <v>1467</v>
      </c>
      <c r="C295" s="57" t="s">
        <v>1467</v>
      </c>
      <c r="D295" s="58" t="s">
        <v>1468</v>
      </c>
      <c r="E295" s="59" t="str">
        <f>HYPERLINK("https://www.google.com/search?q=site%3Azoominsurancebrokers.com%20%22bajaj%20allianz%20life%22&amp;num=100","🔍 Search Google")</f>
        <v>🔍 Search Google</v>
      </c>
    </row>
    <row r="296">
      <c r="A296" s="52">
        <v>295.0</v>
      </c>
      <c r="B296" s="53" t="s">
        <v>1469</v>
      </c>
      <c r="C296" s="53" t="s">
        <v>1469</v>
      </c>
      <c r="D296" s="54" t="s">
        <v>1470</v>
      </c>
      <c r="E296" s="55" t="str">
        <f>HYPERLINK("https://www.google.com/search?q=site%3Ashiftrisk.com%20%22bajaj%20allianz%20life%22&amp;num=100","🔍 Search Google")</f>
        <v>🔍 Search Google</v>
      </c>
    </row>
    <row r="297">
      <c r="A297" s="56">
        <v>296.0</v>
      </c>
      <c r="B297" s="57" t="s">
        <v>1471</v>
      </c>
      <c r="C297" s="57" t="s">
        <v>1471</v>
      </c>
      <c r="D297" s="58" t="s">
        <v>1472</v>
      </c>
      <c r="E297" s="59" t="str">
        <f>HYPERLINK("https://www.google.com/search?q=site%3Ashareindiainsurance.com%20%22bajaj%20allianz%20life%22&amp;num=100","🔍 Search Google")</f>
        <v>🔍 Search Google</v>
      </c>
    </row>
    <row r="298">
      <c r="A298" s="52">
        <v>297.0</v>
      </c>
      <c r="B298" s="53" t="s">
        <v>1473</v>
      </c>
      <c r="C298" s="53" t="s">
        <v>1473</v>
      </c>
      <c r="D298" s="54" t="s">
        <v>1474</v>
      </c>
      <c r="E298" s="55" t="str">
        <f>HYPERLINK("https://www.google.com/search?q=site%3Aaccurateriskmanagers.com%20%22bajaj%20allianz%20life%22&amp;num=100","🔍 Search Google")</f>
        <v>🔍 Search Google</v>
      </c>
    </row>
    <row r="299">
      <c r="A299" s="56">
        <v>298.0</v>
      </c>
      <c r="B299" s="57" t="s">
        <v>1475</v>
      </c>
      <c r="C299" s="57" t="s">
        <v>1475</v>
      </c>
      <c r="D299" s="58" t="s">
        <v>1476</v>
      </c>
      <c r="E299" s="59" t="str">
        <f>HYPERLINK("https://www.google.com/search?q=site%3Acentrumwealth.co.in%20%22bajaj%20allianz%20life%22&amp;num=100","🔍 Search Google")</f>
        <v>🔍 Search Google</v>
      </c>
    </row>
    <row r="300">
      <c r="A300" s="52">
        <v>299.0</v>
      </c>
      <c r="B300" s="53" t="s">
        <v>1477</v>
      </c>
      <c r="C300" s="53" t="s">
        <v>1477</v>
      </c>
      <c r="D300" s="54" t="s">
        <v>1478</v>
      </c>
      <c r="E300" s="55" t="str">
        <f>HYPERLINK("https://www.google.com/search?q=site%3Acapvirgo.co.in%20%22bajaj%20allianz%20life%22&amp;num=100","🔍 Search Google")</f>
        <v>🔍 Search Google</v>
      </c>
    </row>
    <row r="301">
      <c r="A301" s="56">
        <v>300.0</v>
      </c>
      <c r="B301" s="57" t="s">
        <v>1479</v>
      </c>
      <c r="C301" s="57" t="s">
        <v>1479</v>
      </c>
      <c r="D301" s="58" t="s">
        <v>1480</v>
      </c>
      <c r="E301" s="59" t="str">
        <f>HYPERLINK("https://www.google.com/search?q=site%3Apurplepond.in%20%22bajaj%20allianz%20life%22&amp;num=100","🔍 Search Google")</f>
        <v>🔍 Search Google</v>
      </c>
    </row>
    <row r="302">
      <c r="A302" s="52">
        <v>301.0</v>
      </c>
      <c r="B302" s="53" t="s">
        <v>1481</v>
      </c>
      <c r="C302" s="53" t="s">
        <v>1481</v>
      </c>
      <c r="D302" s="54" t="s">
        <v>1482</v>
      </c>
      <c r="E302" s="55" t="str">
        <f>HYPERLINK("https://www.google.com/search?q=site%3Asafetree.in%20%22bajaj%20allianz%20life%22&amp;num=100","🔍 Search Google")</f>
        <v>🔍 Search Google</v>
      </c>
    </row>
    <row r="303">
      <c r="A303" s="56">
        <v>302.0</v>
      </c>
      <c r="B303" s="57" t="s">
        <v>1483</v>
      </c>
      <c r="C303" s="57" t="s">
        <v>1483</v>
      </c>
      <c r="D303" s="58" t="s">
        <v>1484</v>
      </c>
      <c r="E303" s="59" t="str">
        <f>HYPERLINK("https://www.google.com/search?q=site%3Acolourfundsinsure.com%20%22bajaj%20allianz%20life%22&amp;num=100","🔍 Search Google")</f>
        <v>🔍 Search Google</v>
      </c>
    </row>
    <row r="304">
      <c r="A304" s="52">
        <v>303.0</v>
      </c>
      <c r="B304" s="53" t="s">
        <v>1485</v>
      </c>
      <c r="C304" s="53" t="s">
        <v>1485</v>
      </c>
      <c r="D304" s="54" t="s">
        <v>1486</v>
      </c>
      <c r="E304" s="55" t="str">
        <f>HYPERLINK("https://www.google.com/search?q=site%3Almvinsurancebroking.com%20%22bajaj%20allianz%20life%22&amp;num=100","🔍 Search Google")</f>
        <v>🔍 Search Google</v>
      </c>
    </row>
    <row r="305">
      <c r="A305" s="56">
        <v>304.0</v>
      </c>
      <c r="B305" s="57" t="s">
        <v>1487</v>
      </c>
      <c r="C305" s="57" t="s">
        <v>1487</v>
      </c>
      <c r="D305" s="58" t="s">
        <v>1488</v>
      </c>
      <c r="E305" s="59" t="str">
        <f>HYPERLINK("https://www.google.com/search?q=site%3Aglobesecure.co.in%20%22bajaj%20allianz%20life%22&amp;num=100","🔍 Search Google")</f>
        <v>🔍 Search Google</v>
      </c>
    </row>
    <row r="306">
      <c r="A306" s="52">
        <v>305.0</v>
      </c>
      <c r="B306" s="53" t="s">
        <v>1445</v>
      </c>
      <c r="C306" s="53" t="s">
        <v>1445</v>
      </c>
      <c r="D306" s="54" t="s">
        <v>1446</v>
      </c>
      <c r="E306" s="55" t="str">
        <f>HYPERLINK("https://www.google.com/search?q=site%3Amuthootinsurancebrokers.com%20%22bajaj%20allianz%20life%22&amp;num=100","🔍 Search Google")</f>
        <v>🔍 Search Google</v>
      </c>
    </row>
    <row r="307">
      <c r="A307" s="56">
        <v>306.0</v>
      </c>
      <c r="B307" s="57" t="s">
        <v>1489</v>
      </c>
      <c r="C307" s="57" t="s">
        <v>1489</v>
      </c>
      <c r="D307" s="58" t="s">
        <v>1490</v>
      </c>
      <c r="E307" s="59" t="str">
        <f>HYPERLINK("https://www.google.com/search?q=site%3Ait.acuvisor.com%20%22bajaj%20allianz%20life%22&amp;num=100","🔍 Search Google")</f>
        <v>🔍 Search Google</v>
      </c>
    </row>
    <row r="308">
      <c r="A308" s="52">
        <v>307.0</v>
      </c>
      <c r="B308" s="53" t="s">
        <v>1491</v>
      </c>
      <c r="C308" s="53" t="s">
        <v>1491</v>
      </c>
      <c r="D308" s="54" t="s">
        <v>1492</v>
      </c>
      <c r="E308" s="55" t="str">
        <f>HYPERLINK("https://www.google.com/search?q=site%3Atrailblazerinsurance.in%20%22bajaj%20allianz%20life%22&amp;num=100","🔍 Search Google")</f>
        <v>🔍 Search Google</v>
      </c>
    </row>
    <row r="309">
      <c r="A309" s="56">
        <v>308.0</v>
      </c>
      <c r="B309" s="58" t="s">
        <v>1493</v>
      </c>
      <c r="C309" s="58" t="s">
        <v>1493</v>
      </c>
      <c r="D309" s="58" t="s">
        <v>1494</v>
      </c>
      <c r="E309" s="59" t="str">
        <f>HYPERLINK("https://www.google.com/search?q=site%3AXperitus%20%22bajaj%20allianz%20life%22&amp;num=100","🔍 Search Google")</f>
        <v>🔍 Search Google</v>
      </c>
    </row>
    <row r="310">
      <c r="A310" s="52">
        <v>309.0</v>
      </c>
      <c r="B310" s="54" t="s">
        <v>1495</v>
      </c>
      <c r="C310" s="54" t="s">
        <v>1495</v>
      </c>
      <c r="D310" s="54" t="s">
        <v>1496</v>
      </c>
      <c r="E310" s="55" t="str">
        <f>HYPERLINK("https://www.google.com/search?q=site%3AWealth%20Guardian%20Insurance%20Broker%20-%20About%20Us%20%22bajaj%20allianz%20life%22&amp;num=100","🔍 Search Google")</f>
        <v>🔍 Search Google</v>
      </c>
    </row>
    <row r="311">
      <c r="A311" s="56">
        <v>310.0</v>
      </c>
      <c r="B311" s="58" t="s">
        <v>1497</v>
      </c>
      <c r="C311" s="58" t="s">
        <v>1497</v>
      </c>
      <c r="D311" s="58" t="s">
        <v>1498</v>
      </c>
      <c r="E311" s="59" t="str">
        <f>HYPERLINK("https://www.google.com/search?q=site%3AI%20N%20T%20E%20G%20R%20A%20T%20E%20D%20-%20Insurance%20Portal%20%22bajaj%20allianz%20life%22&amp;num=100","🔍 Search Google")</f>
        <v>🔍 Search Google</v>
      </c>
    </row>
    <row r="312">
      <c r="A312" s="52">
        <v>311.0</v>
      </c>
      <c r="B312" s="53" t="s">
        <v>1499</v>
      </c>
      <c r="C312" s="53" t="s">
        <v>1499</v>
      </c>
      <c r="D312" s="54" t="s">
        <v>1500</v>
      </c>
      <c r="E312" s="55" t="str">
        <f>HYPERLINK("https://www.google.com/search?q=site%3Ahowdengroup.com%20%22bajaj%20allianz%20life%22&amp;num=100","🔍 Search Google")</f>
        <v>🔍 Search Google</v>
      </c>
    </row>
    <row r="313">
      <c r="A313" s="56">
        <v>312.0</v>
      </c>
      <c r="B313" s="57" t="s">
        <v>1501</v>
      </c>
      <c r="C313" s="57" t="s">
        <v>1501</v>
      </c>
      <c r="D313" s="58" t="s">
        <v>1502</v>
      </c>
      <c r="E313" s="59" t="str">
        <f>HYPERLINK("https://www.google.com/search?q=site%3Aepochbrokers.com%20%22bajaj%20allianz%20life%22&amp;num=100","🔍 Search Google")</f>
        <v>🔍 Search Google</v>
      </c>
    </row>
    <row r="314">
      <c r="A314" s="52">
        <v>313.0</v>
      </c>
      <c r="B314" s="54" t="s">
        <v>760</v>
      </c>
      <c r="C314" s="54" t="s">
        <v>760</v>
      </c>
      <c r="D314" s="54" t="s">
        <v>1503</v>
      </c>
      <c r="E314" s="55" t="str">
        <f>HYPERLINK("https://www.google.com/search?q=site%3Asss%20%22bajaj%20allianz%20life%22&amp;num=100","🔍 Search Google")</f>
        <v>🔍 Search Google</v>
      </c>
    </row>
    <row r="315">
      <c r="A315" s="56">
        <v>314.0</v>
      </c>
      <c r="B315" s="57" t="s">
        <v>1504</v>
      </c>
      <c r="C315" s="57" t="s">
        <v>1504</v>
      </c>
      <c r="D315" s="58" t="s">
        <v>1505</v>
      </c>
      <c r="E315" s="59" t="str">
        <f>HYPERLINK("https://www.google.com/search?q=site%3Aorangecapital.co.in%20%22bajaj%20allianz%20life%22&amp;num=100","🔍 Search Google")</f>
        <v>🔍 Search Google</v>
      </c>
    </row>
    <row r="316">
      <c r="A316" s="52">
        <v>315.0</v>
      </c>
      <c r="B316" s="53" t="s">
        <v>1506</v>
      </c>
      <c r="C316" s="53" t="s">
        <v>1506</v>
      </c>
      <c r="D316" s="54" t="s">
        <v>1507</v>
      </c>
      <c r="E316" s="55" t="str">
        <f>HYPERLINK("https://www.google.com/search?q=site%3Auibindia.com%20%22bajaj%20allianz%20life%22&amp;num=100","🔍 Search Google")</f>
        <v>🔍 Search Google</v>
      </c>
    </row>
    <row r="317">
      <c r="A317" s="56">
        <v>316.0</v>
      </c>
      <c r="B317" s="57" t="s">
        <v>1508</v>
      </c>
      <c r="C317" s="57" t="s">
        <v>1508</v>
      </c>
      <c r="D317" s="58" t="s">
        <v>1509</v>
      </c>
      <c r="E317" s="59" t="str">
        <f>HYPERLINK("https://www.google.com/search?q=site%3Ajbbodagroup.com%20%22bajaj%20allianz%20life%22&amp;num=100","🔍 Search Google")</f>
        <v>🔍 Search Google</v>
      </c>
    </row>
    <row r="318">
      <c r="A318" s="52">
        <v>317.0</v>
      </c>
      <c r="B318" s="53" t="s">
        <v>1510</v>
      </c>
      <c r="C318" s="53" t="s">
        <v>1510</v>
      </c>
      <c r="D318" s="54" t="s">
        <v>1511</v>
      </c>
      <c r="E318" s="55" t="str">
        <f>HYPERLINK("https://www.google.com/search?q=site%3Aratnaafinsure.com%20%22bajaj%20allianz%20life%22&amp;num=100","🔍 Search Google")</f>
        <v>🔍 Search Google</v>
      </c>
    </row>
    <row r="319">
      <c r="A319" s="56">
        <v>318.0</v>
      </c>
      <c r="B319" s="57" t="s">
        <v>1512</v>
      </c>
      <c r="C319" s="57" t="s">
        <v>1512</v>
      </c>
      <c r="D319" s="58" t="s">
        <v>1513</v>
      </c>
      <c r="E319" s="59" t="str">
        <f>HYPERLINK("https://www.google.com/search?q=site%3Amanasinsurancebrokers.com%20%22bajaj%20allianz%20life%22&amp;num=100","🔍 Search Google")</f>
        <v>🔍 Search Google</v>
      </c>
    </row>
    <row r="320">
      <c r="A320" s="52">
        <v>319.0</v>
      </c>
      <c r="B320" s="53" t="s">
        <v>1514</v>
      </c>
      <c r="C320" s="53" t="s">
        <v>1514</v>
      </c>
      <c r="D320" s="54" t="s">
        <v>1515</v>
      </c>
      <c r="E320" s="55" t="str">
        <f>HYPERLINK("https://www.google.com/search?q=site%3Aintactinsurance.co.in%20%22bajaj%20allianz%20life%22&amp;num=100","🔍 Search Google")</f>
        <v>🔍 Search Google</v>
      </c>
    </row>
    <row r="321">
      <c r="A321" s="56">
        <v>320.0</v>
      </c>
      <c r="B321" s="57" t="s">
        <v>1516</v>
      </c>
      <c r="C321" s="57" t="s">
        <v>1516</v>
      </c>
      <c r="D321" s="58" t="s">
        <v>1517</v>
      </c>
      <c r="E321" s="59" t="str">
        <f>HYPERLINK("https://www.google.com/search?q=site%3Afuturisk.in%20%22bajaj%20allianz%20life%22&amp;num=100","🔍 Search Google")</f>
        <v>🔍 Search Google</v>
      </c>
    </row>
    <row r="322">
      <c r="A322" s="52">
        <v>321.0</v>
      </c>
      <c r="B322" s="53" t="s">
        <v>1518</v>
      </c>
      <c r="C322" s="53" t="s">
        <v>1518</v>
      </c>
      <c r="D322" s="54" t="s">
        <v>1519</v>
      </c>
      <c r="E322" s="55" t="str">
        <f>HYPERLINK("https://www.google.com/search?q=site%3Awestford.co.in%20%22bajaj%20allianz%20life%22&amp;num=100","🔍 Search Google")</f>
        <v>🔍 Search Google</v>
      </c>
    </row>
    <row r="323">
      <c r="A323" s="56">
        <v>322.0</v>
      </c>
      <c r="B323" s="57" t="s">
        <v>1520</v>
      </c>
      <c r="C323" s="57" t="s">
        <v>1520</v>
      </c>
      <c r="D323" s="58" t="s">
        <v>1521</v>
      </c>
      <c r="E323" s="59" t="str">
        <f>HYPERLINK("https://www.google.com/search?q=site%3Asquareinsurance.in%20%22bajaj%20allianz%20life%22&amp;num=100","🔍 Search Google")</f>
        <v>🔍 Search Google</v>
      </c>
    </row>
    <row r="324">
      <c r="A324" s="52">
        <v>323.0</v>
      </c>
      <c r="B324" s="53" t="s">
        <v>1522</v>
      </c>
      <c r="C324" s="53" t="s">
        <v>1522</v>
      </c>
      <c r="D324" s="54" t="s">
        <v>1523</v>
      </c>
      <c r="E324" s="55" t="str">
        <f>HYPERLINK("https://www.google.com/search?q=site%3Apolicyboss.com%20%22bajaj%20allianz%20life%22&amp;num=100","🔍 Search Google")</f>
        <v>🔍 Search Google</v>
      </c>
    </row>
    <row r="325">
      <c r="A325" s="56">
        <v>324.0</v>
      </c>
      <c r="B325" s="57" t="s">
        <v>1524</v>
      </c>
      <c r="C325" s="57" t="s">
        <v>1524</v>
      </c>
      <c r="D325" s="58" t="s">
        <v>1525</v>
      </c>
      <c r="E325" s="59" t="str">
        <f>HYPERLINK("https://www.google.com/search?q=site%3Apolicybazaar.com%20%22bajaj%20allianz%20life%22&amp;num=100","🔍 Search Google")</f>
        <v>🔍 Search Google</v>
      </c>
    </row>
    <row r="326">
      <c r="A326" s="52">
        <v>325.0</v>
      </c>
      <c r="B326" s="53" t="s">
        <v>1526</v>
      </c>
      <c r="C326" s="53" t="s">
        <v>1526</v>
      </c>
      <c r="D326" s="54" t="s">
        <v>1527</v>
      </c>
      <c r="E326" s="55" t="str">
        <f>HYPERLINK("https://www.google.com/search?q=site%3Acatalystbrokers.com%20%22bajaj%20allianz%20life%22&amp;num=100","🔍 Search Google")</f>
        <v>🔍 Search Google</v>
      </c>
    </row>
    <row r="327">
      <c r="A327" s="56">
        <v>326.0</v>
      </c>
      <c r="B327" s="57" t="s">
        <v>1528</v>
      </c>
      <c r="C327" s="57" t="s">
        <v>1528</v>
      </c>
      <c r="D327" s="58" t="s">
        <v>1529</v>
      </c>
      <c r="E327" s="59" t="str">
        <f>HYPERLINK("https://www.google.com/search?q=site%3Arelitrade.in%20%22bajaj%20allianz%20life%22&amp;num=100","🔍 Search Google")</f>
        <v>🔍 Search Google</v>
      </c>
    </row>
    <row r="328">
      <c r="A328" s="52">
        <v>327.0</v>
      </c>
      <c r="B328" s="53" t="s">
        <v>1530</v>
      </c>
      <c r="C328" s="53" t="s">
        <v>1530</v>
      </c>
      <c r="D328" s="54" t="s">
        <v>1531</v>
      </c>
      <c r="E328" s="55" t="str">
        <f>HYPERLINK("https://www.google.com/search?q=site%3Apolicy99.com%20%22bajaj%20allianz%20life%22&amp;num=100","🔍 Search Google")</f>
        <v>🔍 Search Google</v>
      </c>
    </row>
    <row r="329">
      <c r="A329" s="56">
        <v>328.0</v>
      </c>
      <c r="B329" s="57" t="s">
        <v>1532</v>
      </c>
      <c r="C329" s="57" t="s">
        <v>1532</v>
      </c>
      <c r="D329" s="58" t="s">
        <v>1533</v>
      </c>
      <c r="E329" s="59" t="str">
        <f>HYPERLINK("https://www.google.com/search?q=site%3Abharatre.in%20%22bajaj%20allianz%20life%22&amp;num=100","🔍 Search Google")</f>
        <v>🔍 Search Google</v>
      </c>
    </row>
    <row r="330">
      <c r="A330" s="52">
        <v>329.0</v>
      </c>
      <c r="B330" s="53" t="s">
        <v>1534</v>
      </c>
      <c r="C330" s="53" t="s">
        <v>1534</v>
      </c>
      <c r="D330" s="54" t="s">
        <v>1535</v>
      </c>
      <c r="E330" s="55" t="str">
        <f>HYPERLINK("https://www.google.com/search?q=site%3Amagnuminsurance.in%20%22bajaj%20allianz%20life%22&amp;num=100","🔍 Search Google")</f>
        <v>🔍 Search Google</v>
      </c>
    </row>
    <row r="331">
      <c r="A331" s="56">
        <v>330.0</v>
      </c>
      <c r="B331" s="58" t="s">
        <v>1536</v>
      </c>
      <c r="C331" s="58" t="s">
        <v>1536</v>
      </c>
      <c r="D331" s="58" t="s">
        <v>1537</v>
      </c>
      <c r="E331" s="59" t="str">
        <f>HYPERLINK("https://www.google.com/search?q=site%3Amyinsurancekart.com.%20%22bajaj%20allianz%20life%22&amp;num=100","🔍 Search Google")</f>
        <v>🔍 Search Google</v>
      </c>
    </row>
    <row r="332">
      <c r="A332" s="52">
        <v>331.0</v>
      </c>
      <c r="B332" s="53" t="s">
        <v>1538</v>
      </c>
      <c r="C332" s="53" t="s">
        <v>1538</v>
      </c>
      <c r="D332" s="54" t="s">
        <v>1539</v>
      </c>
      <c r="E332" s="55" t="str">
        <f>HYPERLINK("https://www.google.com/search?q=site%3Aglobal.lockton.com%20%22bajaj%20allianz%20life%22&amp;num=100","🔍 Search Google")</f>
        <v>🔍 Search Google</v>
      </c>
    </row>
    <row r="333">
      <c r="A333" s="56">
        <v>332.0</v>
      </c>
      <c r="B333" s="57" t="s">
        <v>1540</v>
      </c>
      <c r="C333" s="57" t="s">
        <v>1540</v>
      </c>
      <c r="D333" s="58" t="s">
        <v>1541</v>
      </c>
      <c r="E333" s="59" t="str">
        <f>HYPERLINK("https://www.google.com/search?q=site%3Avisistarisk.com%20%22bajaj%20allianz%20life%22&amp;num=100","🔍 Search Google")</f>
        <v>🔍 Search Google</v>
      </c>
    </row>
    <row r="334">
      <c r="A334" s="52">
        <v>333.0</v>
      </c>
      <c r="B334" s="53" t="s">
        <v>1542</v>
      </c>
      <c r="C334" s="53" t="s">
        <v>1542</v>
      </c>
      <c r="D334" s="54" t="s">
        <v>1543</v>
      </c>
      <c r="E334" s="55" t="str">
        <f>HYPERLINK("https://www.google.com/search?q=site%3Anuvamawealth.com%20%22bajaj%20allianz%20life%22&amp;num=100","🔍 Search Google")</f>
        <v>🔍 Search Google</v>
      </c>
    </row>
    <row r="335">
      <c r="A335" s="56">
        <v>334.0</v>
      </c>
      <c r="B335" s="57" t="s">
        <v>1544</v>
      </c>
      <c r="C335" s="57" t="s">
        <v>1544</v>
      </c>
      <c r="D335" s="58" t="s">
        <v>1545</v>
      </c>
      <c r="E335" s="59" t="str">
        <f>HYPERLINK("https://www.google.com/search?q=site%3Ainsureefficient.com%20%22bajaj%20allianz%20life%22&amp;num=100","🔍 Search Google")</f>
        <v>🔍 Search Google</v>
      </c>
    </row>
    <row r="336">
      <c r="A336" s="52">
        <v>335.0</v>
      </c>
      <c r="B336" s="53" t="s">
        <v>1546</v>
      </c>
      <c r="C336" s="53" t="s">
        <v>1546</v>
      </c>
      <c r="D336" s="54" t="s">
        <v>1547</v>
      </c>
      <c r="E336" s="55" t="str">
        <f>HYPERLINK("https://www.google.com/search?q=site%3Ainsurejoy.com%20%22bajaj%20allianz%20life%22&amp;num=100","🔍 Search Google")</f>
        <v>🔍 Search Google</v>
      </c>
    </row>
    <row r="337">
      <c r="A337" s="56">
        <v>336.0</v>
      </c>
      <c r="B337" s="57" t="s">
        <v>1548</v>
      </c>
      <c r="C337" s="57" t="s">
        <v>1548</v>
      </c>
      <c r="D337" s="58" t="s">
        <v>1549</v>
      </c>
      <c r="E337" s="59" t="str">
        <f>HYPERLINK("https://www.google.com/search?q=site%3Aaviainsurance.in%20%22bajaj%20allianz%20life%22&amp;num=100","🔍 Search Google")</f>
        <v>🔍 Search Google</v>
      </c>
    </row>
    <row r="338">
      <c r="A338" s="52">
        <v>337.0</v>
      </c>
      <c r="B338" s="53" t="s">
        <v>1550</v>
      </c>
      <c r="C338" s="53" t="s">
        <v>1550</v>
      </c>
      <c r="D338" s="54" t="s">
        <v>1551</v>
      </c>
      <c r="E338" s="55" t="str">
        <f>HYPERLINK("https://www.google.com/search?q=site%3Aqian.co.in%20%22bajaj%20allianz%20life%22&amp;num=100","🔍 Search Google")</f>
        <v>🔍 Search Google</v>
      </c>
    </row>
    <row r="339">
      <c r="A339" s="56">
        <v>338.0</v>
      </c>
      <c r="B339" s="57" t="s">
        <v>1552</v>
      </c>
      <c r="C339" s="57" t="s">
        <v>1552</v>
      </c>
      <c r="D339" s="58" t="s">
        <v>1553</v>
      </c>
      <c r="E339" s="59" t="str">
        <f>HYPERLINK("https://www.google.com/search?q=site%3Aunisoninsurance.net%20%22bajaj%20allianz%20life%22&amp;num=100","🔍 Search Google")</f>
        <v>🔍 Search Google</v>
      </c>
    </row>
    <row r="340">
      <c r="A340" s="52">
        <v>339.0</v>
      </c>
      <c r="B340" s="53" t="s">
        <v>1554</v>
      </c>
      <c r="C340" s="53" t="s">
        <v>1554</v>
      </c>
      <c r="D340" s="54" t="s">
        <v>1555</v>
      </c>
      <c r="E340" s="55" t="str">
        <f>HYPERLINK("https://www.google.com/search?q=site%3Ayellainsure.com%20%22bajaj%20allianz%20life%22&amp;num=100","🔍 Search Google")</f>
        <v>🔍 Search Google</v>
      </c>
    </row>
    <row r="341">
      <c r="A341" s="56">
        <v>340.0</v>
      </c>
      <c r="B341" s="57" t="s">
        <v>1556</v>
      </c>
      <c r="C341" s="57" t="s">
        <v>1556</v>
      </c>
      <c r="D341" s="58" t="s">
        <v>1557</v>
      </c>
      <c r="E341" s="59" t="str">
        <f>HYPERLINK("https://www.google.com/search?q=site%3Aivainsurance.com%20%22bajaj%20allianz%20life%22&amp;num=100","🔍 Search Google")</f>
        <v>🔍 Search Google</v>
      </c>
    </row>
    <row r="342">
      <c r="A342" s="52">
        <v>341.0</v>
      </c>
      <c r="B342" s="53" t="s">
        <v>1558</v>
      </c>
      <c r="C342" s="53" t="s">
        <v>1558</v>
      </c>
      <c r="D342" s="54" t="s">
        <v>1559</v>
      </c>
      <c r="E342" s="55" t="str">
        <f>HYPERLINK("https://www.google.com/search?q=site%3Adishainsurance.com%20%22bajaj%20allianz%20life%22&amp;num=100","🔍 Search Google")</f>
        <v>🔍 Search Google</v>
      </c>
    </row>
    <row r="343">
      <c r="A343" s="56">
        <v>342.0</v>
      </c>
      <c r="B343" s="57" t="s">
        <v>1560</v>
      </c>
      <c r="C343" s="57" t="s">
        <v>1560</v>
      </c>
      <c r="D343" s="58" t="s">
        <v>1561</v>
      </c>
      <c r="E343" s="59" t="str">
        <f>HYPERLINK("https://www.google.com/search?q=site%3Asushilfinance.com%20%22bajaj%20allianz%20life%22&amp;num=100","🔍 Search Google")</f>
        <v>🔍 Search Google</v>
      </c>
    </row>
    <row r="344">
      <c r="A344" s="52">
        <v>343.0</v>
      </c>
      <c r="B344" s="53" t="s">
        <v>1562</v>
      </c>
      <c r="C344" s="53" t="s">
        <v>1562</v>
      </c>
      <c r="D344" s="54" t="s">
        <v>1563</v>
      </c>
      <c r="E344" s="55" t="str">
        <f>HYPERLINK("https://www.google.com/search?q=site%3Afundtreeindia.com%20%22bajaj%20allianz%20life%22&amp;num=100","🔍 Search Google")</f>
        <v>🔍 Search Google</v>
      </c>
    </row>
    <row r="345">
      <c r="A345" s="56">
        <v>344.0</v>
      </c>
      <c r="B345" s="57" t="s">
        <v>1564</v>
      </c>
      <c r="C345" s="57" t="s">
        <v>1564</v>
      </c>
      <c r="D345" s="58" t="s">
        <v>1565</v>
      </c>
      <c r="E345" s="59" t="str">
        <f>HYPERLINK("https://www.google.com/search?q=site%3Asamavesh.in%20%22bajaj%20allianz%20life%22&amp;num=100","🔍 Search Google")</f>
        <v>🔍 Search Google</v>
      </c>
    </row>
    <row r="346">
      <c r="A346" s="52">
        <v>345.0</v>
      </c>
      <c r="B346" s="53" t="s">
        <v>1566</v>
      </c>
      <c r="C346" s="53" t="s">
        <v>1566</v>
      </c>
      <c r="D346" s="54" t="s">
        <v>1567</v>
      </c>
      <c r="E346" s="55" t="str">
        <f>HYPERLINK("https://www.google.com/search?q=site%3Aapeejaygroup.com%20%22bajaj%20allianz%20life%22&amp;num=100","🔍 Search Google")</f>
        <v>🔍 Search Google</v>
      </c>
    </row>
    <row r="347">
      <c r="A347" s="56">
        <v>346.0</v>
      </c>
      <c r="B347" s="57" t="s">
        <v>1568</v>
      </c>
      <c r="C347" s="57" t="s">
        <v>1568</v>
      </c>
      <c r="D347" s="58" t="s">
        <v>1569</v>
      </c>
      <c r="E347" s="59" t="str">
        <f>HYPERLINK("https://www.google.com/search?q=site%3Aalete.in%20%22bajaj%20allianz%20life%22&amp;num=100","🔍 Search Google")</f>
        <v>🔍 Search Google</v>
      </c>
    </row>
    <row r="348">
      <c r="A348" s="52">
        <v>347.0</v>
      </c>
      <c r="B348" s="53" t="s">
        <v>1570</v>
      </c>
      <c r="C348" s="53" t="s">
        <v>1570</v>
      </c>
      <c r="D348" s="54" t="s">
        <v>1571</v>
      </c>
      <c r="E348" s="55" t="str">
        <f>HYPERLINK("https://www.google.com/search?q=site%3Avagmi.org%20%22bajaj%20allianz%20life%22&amp;num=100","🔍 Search Google")</f>
        <v>🔍 Search Google</v>
      </c>
    </row>
    <row r="349">
      <c r="A349" s="56">
        <v>348.0</v>
      </c>
      <c r="B349" s="57" t="s">
        <v>1572</v>
      </c>
      <c r="C349" s="57" t="s">
        <v>1572</v>
      </c>
      <c r="D349" s="58" t="s">
        <v>1573</v>
      </c>
      <c r="E349" s="59" t="str">
        <f>HYPERLINK("https://www.google.com/search?q=site%3Araintreeinsurance.in%20%22bajaj%20allianz%20life%22&amp;num=100","🔍 Search Google")</f>
        <v>🔍 Search Google</v>
      </c>
    </row>
    <row r="350">
      <c r="A350" s="52">
        <v>349.0</v>
      </c>
      <c r="B350" s="53" t="s">
        <v>1574</v>
      </c>
      <c r="C350" s="53" t="s">
        <v>1574</v>
      </c>
      <c r="D350" s="54" t="s">
        <v>1575</v>
      </c>
      <c r="E350" s="55" t="str">
        <f>HYPERLINK("https://www.google.com/search?q=site%3Atvsinsurance.in%20%22bajaj%20allianz%20life%22&amp;num=100","🔍 Search Google")</f>
        <v>🔍 Search Google</v>
      </c>
    </row>
    <row r="351">
      <c r="A351" s="56">
        <v>350.0</v>
      </c>
      <c r="B351" s="57" t="s">
        <v>1576</v>
      </c>
      <c r="C351" s="57" t="s">
        <v>1576</v>
      </c>
      <c r="D351" s="58" t="s">
        <v>1577</v>
      </c>
      <c r="E351" s="59" t="str">
        <f>HYPERLINK("https://www.google.com/search?q=site%3Awisdominsurance.in%20%22bajaj%20allianz%20life%22&amp;num=100","🔍 Search Google")</f>
        <v>🔍 Search Google</v>
      </c>
    </row>
    <row r="352">
      <c r="A352" s="52">
        <v>351.0</v>
      </c>
      <c r="B352" s="53" t="s">
        <v>1578</v>
      </c>
      <c r="C352" s="53" t="s">
        <v>1578</v>
      </c>
      <c r="D352" s="54" t="s">
        <v>1579</v>
      </c>
      <c r="E352" s="55" t="str">
        <f>HYPERLINK("https://www.google.com/search?q=site%3Azopperinsurance.com%20%22bajaj%20allianz%20life%22&amp;num=100","🔍 Search Google")</f>
        <v>🔍 Search Google</v>
      </c>
    </row>
    <row r="353">
      <c r="A353" s="56">
        <v>352.0</v>
      </c>
      <c r="B353" s="57" t="s">
        <v>1580</v>
      </c>
      <c r="C353" s="57" t="s">
        <v>1580</v>
      </c>
      <c r="D353" s="58" t="s">
        <v>1581</v>
      </c>
      <c r="E353" s="59" t="str">
        <f>HYPERLINK("https://www.google.com/search?q=site%3Anovoinsure.com%20%22bajaj%20allianz%20life%22&amp;num=100","🔍 Search Google")</f>
        <v>🔍 Search Google</v>
      </c>
    </row>
    <row r="354">
      <c r="A354" s="52">
        <v>353.0</v>
      </c>
      <c r="B354" s="53" t="s">
        <v>1582</v>
      </c>
      <c r="C354" s="53" t="s">
        <v>1582</v>
      </c>
      <c r="D354" s="54" t="s">
        <v>1583</v>
      </c>
      <c r="E354" s="55" t="str">
        <f>HYPERLINK("https://www.google.com/search?q=site%3Anbinsurance.in%20%22bajaj%20allianz%20life%22&amp;num=100","🔍 Search Google")</f>
        <v>🔍 Search Google</v>
      </c>
    </row>
    <row r="355">
      <c r="A355" s="56">
        <v>354.0</v>
      </c>
      <c r="B355" s="57" t="s">
        <v>1584</v>
      </c>
      <c r="C355" s="57" t="s">
        <v>1584</v>
      </c>
      <c r="D355" s="58" t="s">
        <v>1585</v>
      </c>
      <c r="E355" s="59" t="str">
        <f>HYPERLINK("https://www.google.com/search?q=site%3Areligareonline.com%20%22bajaj%20allianz%20life%22&amp;num=100","🔍 Search Google")</f>
        <v>🔍 Search Google</v>
      </c>
    </row>
    <row r="356">
      <c r="A356" s="52">
        <v>355.0</v>
      </c>
      <c r="B356" s="53" t="s">
        <v>1586</v>
      </c>
      <c r="C356" s="53" t="s">
        <v>1586</v>
      </c>
      <c r="D356" s="54" t="s">
        <v>1587</v>
      </c>
      <c r="E356" s="55" t="str">
        <f>HYPERLINK("https://www.google.com/search?q=site%3Aauminsurancebrokers.com%20%22bajaj%20allianz%20life%22&amp;num=100","🔍 Search Google")</f>
        <v>🔍 Search Google</v>
      </c>
    </row>
    <row r="357">
      <c r="A357" s="56">
        <v>356.0</v>
      </c>
      <c r="B357" s="57" t="s">
        <v>1588</v>
      </c>
      <c r="C357" s="57" t="s">
        <v>1588</v>
      </c>
      <c r="D357" s="58" t="s">
        <v>1589</v>
      </c>
      <c r="E357" s="59" t="str">
        <f>HYPERLINK("https://www.google.com/search?q=site%3Apolicynation.com%20%22bajaj%20allianz%20life%22&amp;num=100","🔍 Search Google")</f>
        <v>🔍 Search Google</v>
      </c>
    </row>
    <row r="358">
      <c r="A358" s="52">
        <v>357.0</v>
      </c>
      <c r="B358" s="53" t="s">
        <v>1590</v>
      </c>
      <c r="C358" s="53" t="s">
        <v>1590</v>
      </c>
      <c r="D358" s="54" t="s">
        <v>1591</v>
      </c>
      <c r="E358" s="55" t="str">
        <f>HYPERLINK("https://www.google.com/search?q=site%3Amybimasansar.com%20%22bajaj%20allianz%20life%22&amp;num=100","🔍 Search Google")</f>
        <v>🔍 Search Google</v>
      </c>
    </row>
    <row r="359">
      <c r="A359" s="56">
        <v>358.0</v>
      </c>
      <c r="B359" s="57" t="s">
        <v>1592</v>
      </c>
      <c r="C359" s="57" t="s">
        <v>1592</v>
      </c>
      <c r="D359" s="58" t="s">
        <v>1593</v>
      </c>
      <c r="E359" s="59" t="str">
        <f>HYPERLINK("https://www.google.com/search?q=site%3Acapitalsquare.in%20%22bajaj%20allianz%20life%22&amp;num=100","🔍 Search Google")</f>
        <v>🔍 Search Google</v>
      </c>
    </row>
    <row r="360">
      <c r="A360" s="52">
        <v>359.0</v>
      </c>
      <c r="B360" s="53" t="s">
        <v>1594</v>
      </c>
      <c r="C360" s="53" t="s">
        <v>1594</v>
      </c>
      <c r="D360" s="54" t="s">
        <v>1595</v>
      </c>
      <c r="E360" s="55" t="str">
        <f>HYPERLINK("https://www.google.com/search?q=site%3Ajubiliant.co.in%20%22bajaj%20allianz%20life%22&amp;num=100","🔍 Search Google")</f>
        <v>🔍 Search Google</v>
      </c>
    </row>
    <row r="361">
      <c r="A361" s="56">
        <v>360.0</v>
      </c>
      <c r="B361" s="57" t="s">
        <v>1596</v>
      </c>
      <c r="C361" s="57" t="s">
        <v>1596</v>
      </c>
      <c r="D361" s="58" t="s">
        <v>1597</v>
      </c>
      <c r="E361" s="59" t="str">
        <f>HYPERLINK("https://www.google.com/search?q=site%3Ain.dohabank.com%20%22bajaj%20allianz%20life%22&amp;num=100","🔍 Search Google")</f>
        <v>🔍 Search Google</v>
      </c>
    </row>
    <row r="362">
      <c r="A362" s="52">
        <v>361.0</v>
      </c>
      <c r="B362" s="53" t="s">
        <v>1598</v>
      </c>
      <c r="C362" s="53" t="s">
        <v>1598</v>
      </c>
      <c r="D362" s="54" t="s">
        <v>1599</v>
      </c>
      <c r="E362" s="55" t="str">
        <f>HYPERLINK("https://www.google.com/search?q=site%3Asammaancapital.com%20%22bajaj%20allianz%20life%22&amp;num=100","🔍 Search Google")</f>
        <v>🔍 Search Google</v>
      </c>
    </row>
    <row r="363">
      <c r="A363" s="56">
        <v>362.0</v>
      </c>
      <c r="B363" s="57" t="s">
        <v>1600</v>
      </c>
      <c r="C363" s="57" t="s">
        <v>1600</v>
      </c>
      <c r="D363" s="58" t="s">
        <v>1601</v>
      </c>
      <c r="E363" s="59" t="str">
        <f>HYPERLINK("https://www.google.com/search?q=site%3Aarmourrinsurance.com%20%22bajaj%20allianz%20life%22&amp;num=100","🔍 Search Google")</f>
        <v>🔍 Search Google</v>
      </c>
    </row>
    <row r="364">
      <c r="A364" s="52">
        <v>363.0</v>
      </c>
      <c r="B364" s="53" t="s">
        <v>1602</v>
      </c>
      <c r="C364" s="53" t="s">
        <v>1602</v>
      </c>
      <c r="D364" s="54" t="s">
        <v>1603</v>
      </c>
      <c r="E364" s="55" t="str">
        <f>HYPERLINK("https://www.google.com/search?q=site%3Adrvindia.com%20%22bajaj%20allianz%20life%22&amp;num=100","🔍 Search Google")</f>
        <v>🔍 Search Google</v>
      </c>
    </row>
    <row r="365">
      <c r="A365" s="56">
        <v>364.0</v>
      </c>
      <c r="B365" s="57" t="s">
        <v>1604</v>
      </c>
      <c r="C365" s="57" t="s">
        <v>1604</v>
      </c>
      <c r="D365" s="58" t="s">
        <v>1605</v>
      </c>
      <c r="E365" s="59" t="str">
        <f>HYPERLINK("https://www.google.com/search?q=site%3Aplinsurance.co.in%20%22bajaj%20allianz%20life%22&amp;num=100","🔍 Search Google")</f>
        <v>🔍 Search Google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  <hyperlink r:id="rId101" ref="B52"/>
    <hyperlink r:id="rId102" ref="C52"/>
    <hyperlink r:id="rId103" ref="B53"/>
    <hyperlink r:id="rId104" ref="C53"/>
    <hyperlink r:id="rId105" ref="B54"/>
    <hyperlink r:id="rId106" ref="C54"/>
    <hyperlink r:id="rId107" ref="B55"/>
    <hyperlink r:id="rId108" ref="C55"/>
    <hyperlink r:id="rId109" ref="B56"/>
    <hyperlink r:id="rId110" ref="C56"/>
    <hyperlink r:id="rId111" ref="B57"/>
    <hyperlink r:id="rId112" ref="C57"/>
    <hyperlink r:id="rId113" ref="B58"/>
    <hyperlink r:id="rId114" ref="C58"/>
    <hyperlink r:id="rId115" ref="B59"/>
    <hyperlink r:id="rId116" ref="C59"/>
    <hyperlink r:id="rId117" ref="B60"/>
    <hyperlink r:id="rId118" ref="C60"/>
    <hyperlink r:id="rId119" ref="B61"/>
    <hyperlink r:id="rId120" ref="C61"/>
    <hyperlink r:id="rId121" ref="B62"/>
    <hyperlink r:id="rId122" ref="C62"/>
    <hyperlink r:id="rId123" ref="B63"/>
    <hyperlink r:id="rId124" ref="C63"/>
    <hyperlink r:id="rId125" ref="B64"/>
    <hyperlink r:id="rId126" ref="C64"/>
    <hyperlink r:id="rId127" ref="B65"/>
    <hyperlink r:id="rId128" ref="C65"/>
    <hyperlink r:id="rId129" ref="B66"/>
    <hyperlink r:id="rId130" ref="C66"/>
    <hyperlink r:id="rId131" ref="B67"/>
    <hyperlink r:id="rId132" ref="C67"/>
    <hyperlink r:id="rId133" ref="B68"/>
    <hyperlink r:id="rId134" ref="C68"/>
    <hyperlink r:id="rId135" ref="B69"/>
    <hyperlink r:id="rId136" ref="C69"/>
    <hyperlink r:id="rId137" ref="B70"/>
    <hyperlink r:id="rId138" ref="C70"/>
    <hyperlink r:id="rId139" ref="B71"/>
    <hyperlink r:id="rId140" ref="C71"/>
    <hyperlink r:id="rId141" ref="B72"/>
    <hyperlink r:id="rId142" ref="C72"/>
    <hyperlink r:id="rId143" ref="B73"/>
    <hyperlink r:id="rId144" ref="C73"/>
    <hyperlink r:id="rId145" ref="B74"/>
    <hyperlink r:id="rId146" ref="C74"/>
    <hyperlink r:id="rId147" ref="B75"/>
    <hyperlink r:id="rId148" ref="C75"/>
    <hyperlink r:id="rId149" ref="B76"/>
    <hyperlink r:id="rId150" ref="C76"/>
    <hyperlink r:id="rId151" ref="B77"/>
    <hyperlink r:id="rId152" ref="C77"/>
    <hyperlink r:id="rId153" ref="B78"/>
    <hyperlink r:id="rId154" ref="C78"/>
    <hyperlink r:id="rId155" ref="B79"/>
    <hyperlink r:id="rId156" ref="C79"/>
    <hyperlink r:id="rId157" ref="B80"/>
    <hyperlink r:id="rId158" ref="C80"/>
    <hyperlink r:id="rId159" ref="B81"/>
    <hyperlink r:id="rId160" ref="C81"/>
    <hyperlink r:id="rId161" ref="B82"/>
    <hyperlink r:id="rId162" ref="C82"/>
    <hyperlink r:id="rId163" ref="B83"/>
    <hyperlink r:id="rId164" ref="C83"/>
    <hyperlink r:id="rId165" ref="B84"/>
    <hyperlink r:id="rId166" ref="C84"/>
    <hyperlink r:id="rId167" ref="B85"/>
    <hyperlink r:id="rId168" ref="C85"/>
    <hyperlink r:id="rId169" ref="B86"/>
    <hyperlink r:id="rId170" ref="C86"/>
    <hyperlink r:id="rId171" ref="B87"/>
    <hyperlink r:id="rId172" ref="C87"/>
    <hyperlink r:id="rId173" ref="B88"/>
    <hyperlink r:id="rId174" ref="C88"/>
    <hyperlink r:id="rId175" ref="B89"/>
    <hyperlink r:id="rId176" ref="C89"/>
    <hyperlink r:id="rId177" ref="B90"/>
    <hyperlink r:id="rId178" ref="C90"/>
    <hyperlink r:id="rId179" ref="B91"/>
    <hyperlink r:id="rId180" ref="C91"/>
    <hyperlink r:id="rId181" ref="B92"/>
    <hyperlink r:id="rId182" ref="C92"/>
    <hyperlink r:id="rId183" ref="B93"/>
    <hyperlink r:id="rId184" ref="C93"/>
    <hyperlink r:id="rId185" ref="B94"/>
    <hyperlink r:id="rId186" ref="C94"/>
    <hyperlink r:id="rId187" ref="B95"/>
    <hyperlink r:id="rId188" ref="C95"/>
    <hyperlink r:id="rId189" ref="B96"/>
    <hyperlink r:id="rId190" ref="C96"/>
    <hyperlink r:id="rId191" ref="B97"/>
    <hyperlink r:id="rId192" ref="C97"/>
    <hyperlink r:id="rId193" ref="B98"/>
    <hyperlink r:id="rId194" ref="C98"/>
    <hyperlink r:id="rId195" ref="B99"/>
    <hyperlink r:id="rId196" ref="C99"/>
    <hyperlink r:id="rId197" ref="B100"/>
    <hyperlink r:id="rId198" ref="C100"/>
    <hyperlink r:id="rId199" ref="B101"/>
    <hyperlink r:id="rId200" ref="C101"/>
    <hyperlink r:id="rId201" ref="B102"/>
    <hyperlink r:id="rId202" ref="C102"/>
    <hyperlink r:id="rId203" ref="B103"/>
    <hyperlink r:id="rId204" ref="C103"/>
    <hyperlink r:id="rId205" ref="B104"/>
    <hyperlink r:id="rId206" ref="C104"/>
    <hyperlink r:id="rId207" ref="B105"/>
    <hyperlink r:id="rId208" ref="C105"/>
    <hyperlink r:id="rId209" ref="B106"/>
    <hyperlink r:id="rId210" ref="C106"/>
    <hyperlink r:id="rId211" ref="B107"/>
    <hyperlink r:id="rId212" ref="C107"/>
    <hyperlink r:id="rId213" ref="B108"/>
    <hyperlink r:id="rId214" ref="C108"/>
    <hyperlink r:id="rId215" ref="B109"/>
    <hyperlink r:id="rId216" ref="C109"/>
    <hyperlink r:id="rId217" ref="B110"/>
    <hyperlink r:id="rId218" ref="C110"/>
    <hyperlink r:id="rId219" ref="B111"/>
    <hyperlink r:id="rId220" ref="C111"/>
    <hyperlink r:id="rId221" ref="B112"/>
    <hyperlink r:id="rId222" ref="C112"/>
    <hyperlink r:id="rId223" ref="B113"/>
    <hyperlink r:id="rId224" ref="C113"/>
    <hyperlink r:id="rId225" ref="B114"/>
    <hyperlink r:id="rId226" ref="C114"/>
    <hyperlink r:id="rId227" ref="B115"/>
    <hyperlink r:id="rId228" ref="C115"/>
    <hyperlink r:id="rId229" ref="B116"/>
    <hyperlink r:id="rId230" ref="C116"/>
    <hyperlink r:id="rId231" ref="B117"/>
    <hyperlink r:id="rId232" ref="C117"/>
    <hyperlink r:id="rId233" ref="B118"/>
    <hyperlink r:id="rId234" ref="C118"/>
    <hyperlink r:id="rId235" ref="B119"/>
    <hyperlink r:id="rId236" ref="C119"/>
    <hyperlink r:id="rId237" ref="B120"/>
    <hyperlink r:id="rId238" ref="C120"/>
    <hyperlink r:id="rId239" ref="B121"/>
    <hyperlink r:id="rId240" ref="C121"/>
    <hyperlink r:id="rId241" ref="B122"/>
    <hyperlink r:id="rId242" ref="C122"/>
    <hyperlink r:id="rId243" ref="B123"/>
    <hyperlink r:id="rId244" ref="C123"/>
    <hyperlink r:id="rId245" ref="B124"/>
    <hyperlink r:id="rId246" ref="C124"/>
    <hyperlink r:id="rId247" ref="B125"/>
    <hyperlink r:id="rId248" ref="C125"/>
    <hyperlink r:id="rId249" ref="B126"/>
    <hyperlink r:id="rId250" ref="C126"/>
    <hyperlink r:id="rId251" ref="B127"/>
    <hyperlink r:id="rId252" ref="C127"/>
    <hyperlink r:id="rId253" ref="B128"/>
    <hyperlink r:id="rId254" ref="C128"/>
    <hyperlink r:id="rId255" ref="B129"/>
    <hyperlink r:id="rId256" ref="C129"/>
    <hyperlink r:id="rId257" ref="B130"/>
    <hyperlink r:id="rId258" ref="C130"/>
    <hyperlink r:id="rId259" ref="B131"/>
    <hyperlink r:id="rId260" ref="C131"/>
    <hyperlink r:id="rId261" ref="B132"/>
    <hyperlink r:id="rId262" ref="C132"/>
    <hyperlink r:id="rId263" ref="B133"/>
    <hyperlink r:id="rId264" ref="C133"/>
    <hyperlink r:id="rId265" ref="B134"/>
    <hyperlink r:id="rId266" ref="C134"/>
    <hyperlink r:id="rId267" ref="B135"/>
    <hyperlink r:id="rId268" ref="C135"/>
    <hyperlink r:id="rId269" ref="B136"/>
    <hyperlink r:id="rId270" ref="C136"/>
    <hyperlink r:id="rId271" ref="B137"/>
    <hyperlink r:id="rId272" ref="C137"/>
    <hyperlink r:id="rId273" ref="B138"/>
    <hyperlink r:id="rId274" ref="C138"/>
    <hyperlink r:id="rId275" ref="B140"/>
    <hyperlink r:id="rId276" ref="C140"/>
    <hyperlink r:id="rId277" ref="B141"/>
    <hyperlink r:id="rId278" ref="C141"/>
    <hyperlink r:id="rId279" ref="B142"/>
    <hyperlink r:id="rId280" ref="C142"/>
    <hyperlink r:id="rId281" ref="B143"/>
    <hyperlink r:id="rId282" ref="C143"/>
    <hyperlink r:id="rId283" ref="B144"/>
    <hyperlink r:id="rId284" ref="C144"/>
    <hyperlink r:id="rId285" ref="B145"/>
    <hyperlink r:id="rId286" ref="C145"/>
    <hyperlink r:id="rId287" ref="B146"/>
    <hyperlink r:id="rId288" ref="C146"/>
    <hyperlink r:id="rId289" ref="B147"/>
    <hyperlink r:id="rId290" ref="C147"/>
    <hyperlink r:id="rId291" ref="B148"/>
    <hyperlink r:id="rId292" ref="C148"/>
    <hyperlink r:id="rId293" ref="B149"/>
    <hyperlink r:id="rId294" ref="C149"/>
    <hyperlink r:id="rId295" ref="B150"/>
    <hyperlink r:id="rId296" ref="C150"/>
    <hyperlink r:id="rId297" ref="B151"/>
    <hyperlink r:id="rId298" ref="C151"/>
    <hyperlink r:id="rId299" ref="B152"/>
    <hyperlink r:id="rId300" ref="C152"/>
    <hyperlink r:id="rId301" ref="B153"/>
    <hyperlink r:id="rId302" ref="C153"/>
    <hyperlink r:id="rId303" ref="B154"/>
    <hyperlink r:id="rId304" ref="C154"/>
    <hyperlink r:id="rId305" ref="B155"/>
    <hyperlink r:id="rId306" ref="C155"/>
    <hyperlink r:id="rId307" ref="B156"/>
    <hyperlink r:id="rId308" ref="C156"/>
    <hyperlink r:id="rId309" ref="B157"/>
    <hyperlink r:id="rId310" ref="C157"/>
    <hyperlink r:id="rId311" ref="B158"/>
    <hyperlink r:id="rId312" ref="C158"/>
    <hyperlink r:id="rId313" ref="B159"/>
    <hyperlink r:id="rId314" ref="C159"/>
    <hyperlink r:id="rId315" ref="B160"/>
    <hyperlink r:id="rId316" ref="C160"/>
    <hyperlink r:id="rId317" ref="B161"/>
    <hyperlink r:id="rId318" ref="C161"/>
    <hyperlink r:id="rId319" ref="B162"/>
    <hyperlink r:id="rId320" ref="C162"/>
    <hyperlink r:id="rId321" ref="B163"/>
    <hyperlink r:id="rId322" ref="C163"/>
    <hyperlink r:id="rId323" ref="B164"/>
    <hyperlink r:id="rId324" ref="C164"/>
    <hyperlink r:id="rId325" ref="B165"/>
    <hyperlink r:id="rId326" ref="C165"/>
    <hyperlink r:id="rId327" ref="B166"/>
    <hyperlink r:id="rId328" ref="C166"/>
    <hyperlink r:id="rId329" ref="B167"/>
    <hyperlink r:id="rId330" ref="C167"/>
    <hyperlink r:id="rId331" ref="B168"/>
    <hyperlink r:id="rId332" ref="C168"/>
    <hyperlink r:id="rId333" ref="B169"/>
    <hyperlink r:id="rId334" ref="C169"/>
    <hyperlink r:id="rId335" ref="B170"/>
    <hyperlink r:id="rId336" ref="C170"/>
    <hyperlink r:id="rId337" ref="B171"/>
    <hyperlink r:id="rId338" ref="C171"/>
    <hyperlink r:id="rId339" ref="B172"/>
    <hyperlink r:id="rId340" ref="C172"/>
    <hyperlink r:id="rId341" ref="B173"/>
    <hyperlink r:id="rId342" ref="C173"/>
    <hyperlink r:id="rId343" ref="B174"/>
    <hyperlink r:id="rId344" ref="C174"/>
    <hyperlink r:id="rId345" ref="B176"/>
    <hyperlink r:id="rId346" ref="C176"/>
    <hyperlink r:id="rId347" ref="B177"/>
    <hyperlink r:id="rId348" ref="C177"/>
    <hyperlink r:id="rId349" ref="B178"/>
    <hyperlink r:id="rId350" ref="C178"/>
    <hyperlink r:id="rId351" ref="B179"/>
    <hyperlink r:id="rId352" ref="C179"/>
    <hyperlink r:id="rId353" ref="B180"/>
    <hyperlink r:id="rId354" ref="C180"/>
    <hyperlink r:id="rId355" ref="B181"/>
    <hyperlink r:id="rId356" ref="C181"/>
    <hyperlink r:id="rId357" ref="B182"/>
    <hyperlink r:id="rId358" ref="C182"/>
    <hyperlink r:id="rId359" ref="B183"/>
    <hyperlink r:id="rId360" ref="C183"/>
    <hyperlink r:id="rId361" ref="B184"/>
    <hyperlink r:id="rId362" ref="C184"/>
    <hyperlink r:id="rId363" ref="B185"/>
    <hyperlink r:id="rId364" ref="C185"/>
    <hyperlink r:id="rId365" ref="B186"/>
    <hyperlink r:id="rId366" ref="C186"/>
    <hyperlink r:id="rId367" ref="B187"/>
    <hyperlink r:id="rId368" ref="C187"/>
    <hyperlink r:id="rId369" ref="B188"/>
    <hyperlink r:id="rId370" ref="C188"/>
    <hyperlink r:id="rId371" ref="B189"/>
    <hyperlink r:id="rId372" ref="C189"/>
    <hyperlink r:id="rId373" ref="B190"/>
    <hyperlink r:id="rId374" ref="C190"/>
    <hyperlink r:id="rId375" ref="B191"/>
    <hyperlink r:id="rId376" ref="C191"/>
    <hyperlink r:id="rId377" ref="B192"/>
    <hyperlink r:id="rId378" ref="C192"/>
    <hyperlink r:id="rId379" ref="B193"/>
    <hyperlink r:id="rId380" ref="C193"/>
    <hyperlink r:id="rId381" ref="B194"/>
    <hyperlink r:id="rId382" ref="C194"/>
    <hyperlink r:id="rId383" ref="B195"/>
    <hyperlink r:id="rId384" ref="C195"/>
    <hyperlink r:id="rId385" ref="B196"/>
    <hyperlink r:id="rId386" ref="C196"/>
    <hyperlink r:id="rId387" ref="B197"/>
    <hyperlink r:id="rId388" ref="C197"/>
    <hyperlink r:id="rId389" ref="B198"/>
    <hyperlink r:id="rId390" ref="C198"/>
    <hyperlink r:id="rId391" ref="B199"/>
    <hyperlink r:id="rId392" ref="C199"/>
    <hyperlink r:id="rId393" ref="B201"/>
    <hyperlink r:id="rId394" ref="C201"/>
    <hyperlink r:id="rId395" ref="B202"/>
    <hyperlink r:id="rId396" ref="C202"/>
    <hyperlink r:id="rId397" ref="B203"/>
    <hyperlink r:id="rId398" ref="C203"/>
    <hyperlink r:id="rId399" ref="B204"/>
    <hyperlink r:id="rId400" ref="C204"/>
    <hyperlink r:id="rId401" ref="B205"/>
    <hyperlink r:id="rId402" ref="C205"/>
    <hyperlink r:id="rId403" ref="B206"/>
    <hyperlink r:id="rId404" ref="C206"/>
    <hyperlink r:id="rId405" ref="B207"/>
    <hyperlink r:id="rId406" ref="C207"/>
    <hyperlink r:id="rId407" ref="B208"/>
    <hyperlink r:id="rId408" ref="C208"/>
    <hyperlink r:id="rId409" ref="B209"/>
    <hyperlink r:id="rId410" ref="C209"/>
    <hyperlink r:id="rId411" ref="B210"/>
    <hyperlink r:id="rId412" ref="C210"/>
    <hyperlink r:id="rId413" ref="B211"/>
    <hyperlink r:id="rId414" ref="C211"/>
    <hyperlink r:id="rId415" ref="B212"/>
    <hyperlink r:id="rId416" ref="C212"/>
    <hyperlink r:id="rId417" ref="B213"/>
    <hyperlink r:id="rId418" ref="C213"/>
    <hyperlink r:id="rId419" ref="B214"/>
    <hyperlink r:id="rId420" ref="C214"/>
    <hyperlink r:id="rId421" ref="B215"/>
    <hyperlink r:id="rId422" ref="C215"/>
    <hyperlink r:id="rId423" ref="B216"/>
    <hyperlink r:id="rId424" ref="C216"/>
    <hyperlink r:id="rId425" ref="B217"/>
    <hyperlink r:id="rId426" ref="C217"/>
    <hyperlink r:id="rId427" ref="B218"/>
    <hyperlink r:id="rId428" ref="C218"/>
    <hyperlink r:id="rId429" ref="B219"/>
    <hyperlink r:id="rId430" ref="C219"/>
    <hyperlink r:id="rId431" ref="B220"/>
    <hyperlink r:id="rId432" ref="C220"/>
    <hyperlink r:id="rId433" ref="B221"/>
    <hyperlink r:id="rId434" ref="C221"/>
    <hyperlink r:id="rId435" ref="B222"/>
    <hyperlink r:id="rId436" ref="C222"/>
    <hyperlink r:id="rId437" ref="B223"/>
    <hyperlink r:id="rId438" ref="C223"/>
    <hyperlink r:id="rId439" ref="B224"/>
    <hyperlink r:id="rId440" ref="C224"/>
    <hyperlink r:id="rId441" ref="B225"/>
    <hyperlink r:id="rId442" ref="C225"/>
    <hyperlink r:id="rId443" ref="B226"/>
    <hyperlink r:id="rId444" ref="C226"/>
    <hyperlink r:id="rId445" ref="B227"/>
    <hyperlink r:id="rId446" ref="C227"/>
    <hyperlink r:id="rId447" ref="B228"/>
    <hyperlink r:id="rId448" ref="C228"/>
    <hyperlink r:id="rId449" ref="B229"/>
    <hyperlink r:id="rId450" ref="C229"/>
    <hyperlink r:id="rId451" ref="B230"/>
    <hyperlink r:id="rId452" ref="C230"/>
    <hyperlink r:id="rId453" ref="B231"/>
    <hyperlink r:id="rId454" ref="C231"/>
    <hyperlink r:id="rId455" ref="B232"/>
    <hyperlink r:id="rId456" ref="C232"/>
    <hyperlink r:id="rId457" ref="B233"/>
    <hyperlink r:id="rId458" ref="C233"/>
    <hyperlink r:id="rId459" ref="B234"/>
    <hyperlink r:id="rId460" ref="C234"/>
    <hyperlink r:id="rId461" ref="B235"/>
    <hyperlink r:id="rId462" ref="C235"/>
    <hyperlink r:id="rId463" ref="B236"/>
    <hyperlink r:id="rId464" ref="C236"/>
    <hyperlink r:id="rId465" ref="B237"/>
    <hyperlink r:id="rId466" ref="C237"/>
    <hyperlink r:id="rId467" ref="B238"/>
    <hyperlink r:id="rId468" ref="C238"/>
    <hyperlink r:id="rId469" ref="B239"/>
    <hyperlink r:id="rId470" ref="C239"/>
    <hyperlink r:id="rId471" ref="B240"/>
    <hyperlink r:id="rId472" ref="C240"/>
    <hyperlink r:id="rId473" ref="B241"/>
    <hyperlink r:id="rId474" ref="C241"/>
    <hyperlink r:id="rId475" ref="B242"/>
    <hyperlink r:id="rId476" ref="C242"/>
    <hyperlink r:id="rId477" ref="B243"/>
    <hyperlink r:id="rId478" ref="C243"/>
    <hyperlink r:id="rId479" ref="B244"/>
    <hyperlink r:id="rId480" ref="C244"/>
    <hyperlink r:id="rId481" ref="B245"/>
    <hyperlink r:id="rId482" ref="C245"/>
    <hyperlink r:id="rId483" ref="B246"/>
    <hyperlink r:id="rId484" ref="C246"/>
    <hyperlink r:id="rId485" ref="B247"/>
    <hyperlink r:id="rId486" ref="C247"/>
    <hyperlink r:id="rId487" ref="B248"/>
    <hyperlink r:id="rId488" ref="C248"/>
    <hyperlink r:id="rId489" ref="B249"/>
    <hyperlink r:id="rId490" ref="C249"/>
    <hyperlink r:id="rId491" ref="B250"/>
    <hyperlink r:id="rId492" ref="C250"/>
    <hyperlink r:id="rId493" ref="B251"/>
    <hyperlink r:id="rId494" ref="C251"/>
    <hyperlink r:id="rId495" ref="B252"/>
    <hyperlink r:id="rId496" ref="C252"/>
    <hyperlink r:id="rId497" ref="B253"/>
    <hyperlink r:id="rId498" ref="C253"/>
    <hyperlink r:id="rId499" ref="B254"/>
    <hyperlink r:id="rId500" ref="C254"/>
    <hyperlink r:id="rId501" ref="B255"/>
    <hyperlink r:id="rId502" ref="C255"/>
    <hyperlink r:id="rId503" ref="B256"/>
    <hyperlink r:id="rId504" ref="C256"/>
    <hyperlink r:id="rId505" ref="B257"/>
    <hyperlink r:id="rId506" ref="C257"/>
    <hyperlink r:id="rId507" ref="B258"/>
    <hyperlink r:id="rId508" ref="C258"/>
    <hyperlink r:id="rId509" ref="B259"/>
    <hyperlink r:id="rId510" ref="C259"/>
    <hyperlink r:id="rId511" ref="B260"/>
    <hyperlink r:id="rId512" ref="C260"/>
    <hyperlink r:id="rId513" ref="B261"/>
    <hyperlink r:id="rId514" ref="C261"/>
    <hyperlink r:id="rId515" ref="B262"/>
    <hyperlink r:id="rId516" ref="C262"/>
    <hyperlink r:id="rId517" ref="B263"/>
    <hyperlink r:id="rId518" ref="C263"/>
    <hyperlink r:id="rId519" ref="B264"/>
    <hyperlink r:id="rId520" ref="C264"/>
    <hyperlink r:id="rId521" ref="B265"/>
    <hyperlink r:id="rId522" ref="C265"/>
    <hyperlink r:id="rId523" ref="B266"/>
    <hyperlink r:id="rId524" ref="C266"/>
    <hyperlink r:id="rId525" ref="B267"/>
    <hyperlink r:id="rId526" ref="C267"/>
    <hyperlink r:id="rId527" ref="B268"/>
    <hyperlink r:id="rId528" ref="C268"/>
    <hyperlink r:id="rId529" ref="B269"/>
    <hyperlink r:id="rId530" ref="C269"/>
    <hyperlink r:id="rId531" ref="B270"/>
    <hyperlink r:id="rId532" ref="C270"/>
    <hyperlink r:id="rId533" ref="B271"/>
    <hyperlink r:id="rId534" ref="C271"/>
    <hyperlink r:id="rId535" ref="B272"/>
    <hyperlink r:id="rId536" ref="C272"/>
    <hyperlink r:id="rId537" ref="B273"/>
    <hyperlink r:id="rId538" ref="C273"/>
    <hyperlink r:id="rId539" ref="B274"/>
    <hyperlink r:id="rId540" ref="C274"/>
    <hyperlink r:id="rId541" ref="B275"/>
    <hyperlink r:id="rId542" ref="C275"/>
    <hyperlink r:id="rId543" ref="B276"/>
    <hyperlink r:id="rId544" ref="C276"/>
    <hyperlink r:id="rId545" ref="B277"/>
    <hyperlink r:id="rId546" ref="C277"/>
    <hyperlink r:id="rId547" ref="B278"/>
    <hyperlink r:id="rId548" ref="C278"/>
    <hyperlink r:id="rId549" ref="B279"/>
    <hyperlink r:id="rId550" ref="C279"/>
    <hyperlink r:id="rId551" ref="B280"/>
    <hyperlink r:id="rId552" ref="C280"/>
    <hyperlink r:id="rId553" ref="B281"/>
    <hyperlink r:id="rId554" ref="C281"/>
    <hyperlink r:id="rId555" ref="B282"/>
    <hyperlink r:id="rId556" ref="C282"/>
    <hyperlink r:id="rId557" ref="B283"/>
    <hyperlink r:id="rId558" ref="C283"/>
    <hyperlink r:id="rId559" ref="B284"/>
    <hyperlink r:id="rId560" ref="C284"/>
    <hyperlink r:id="rId561" ref="B285"/>
    <hyperlink r:id="rId562" ref="C285"/>
    <hyperlink r:id="rId563" ref="B286"/>
    <hyperlink r:id="rId564" ref="C286"/>
    <hyperlink r:id="rId565" ref="B287"/>
    <hyperlink r:id="rId566" ref="C287"/>
    <hyperlink r:id="rId567" ref="B288"/>
    <hyperlink r:id="rId568" ref="C288"/>
    <hyperlink r:id="rId569" ref="B289"/>
    <hyperlink r:id="rId570" ref="C289"/>
    <hyperlink r:id="rId571" ref="B290"/>
    <hyperlink r:id="rId572" ref="C290"/>
    <hyperlink r:id="rId573" ref="B291"/>
    <hyperlink r:id="rId574" ref="C291"/>
    <hyperlink r:id="rId575" ref="B292"/>
    <hyperlink r:id="rId576" ref="C292"/>
    <hyperlink r:id="rId577" ref="B293"/>
    <hyperlink r:id="rId578" ref="C293"/>
    <hyperlink r:id="rId579" ref="B294"/>
    <hyperlink r:id="rId580" ref="C294"/>
    <hyperlink r:id="rId581" ref="B295"/>
    <hyperlink r:id="rId582" ref="C295"/>
    <hyperlink r:id="rId583" ref="B296"/>
    <hyperlink r:id="rId584" ref="C296"/>
    <hyperlink r:id="rId585" ref="B297"/>
    <hyperlink r:id="rId586" ref="C297"/>
    <hyperlink r:id="rId587" ref="B298"/>
    <hyperlink r:id="rId588" ref="C298"/>
    <hyperlink r:id="rId589" ref="B299"/>
    <hyperlink r:id="rId590" ref="C299"/>
    <hyperlink r:id="rId591" ref="B300"/>
    <hyperlink r:id="rId592" ref="C300"/>
    <hyperlink r:id="rId593" ref="B301"/>
    <hyperlink r:id="rId594" ref="C301"/>
    <hyperlink r:id="rId595" ref="B302"/>
    <hyperlink r:id="rId596" ref="C302"/>
    <hyperlink r:id="rId597" ref="B303"/>
    <hyperlink r:id="rId598" ref="C303"/>
    <hyperlink r:id="rId599" ref="B304"/>
    <hyperlink r:id="rId600" ref="C304"/>
    <hyperlink r:id="rId601" ref="B305"/>
    <hyperlink r:id="rId602" ref="C305"/>
    <hyperlink r:id="rId603" ref="B306"/>
    <hyperlink r:id="rId604" ref="C306"/>
    <hyperlink r:id="rId605" ref="B307"/>
    <hyperlink r:id="rId606" ref="C307"/>
    <hyperlink r:id="rId607" ref="B308"/>
    <hyperlink r:id="rId608" ref="C308"/>
    <hyperlink r:id="rId609" ref="B312"/>
    <hyperlink r:id="rId610" ref="C312"/>
    <hyperlink r:id="rId611" ref="B313"/>
    <hyperlink r:id="rId612" ref="C313"/>
    <hyperlink r:id="rId613" ref="B315"/>
    <hyperlink r:id="rId614" ref="C315"/>
    <hyperlink r:id="rId615" ref="B316"/>
    <hyperlink r:id="rId616" ref="C316"/>
    <hyperlink r:id="rId617" ref="B317"/>
    <hyperlink r:id="rId618" ref="C317"/>
    <hyperlink r:id="rId619" ref="B318"/>
    <hyperlink r:id="rId620" ref="C318"/>
    <hyperlink r:id="rId621" ref="B319"/>
    <hyperlink r:id="rId622" ref="C319"/>
    <hyperlink r:id="rId623" ref="B320"/>
    <hyperlink r:id="rId624" ref="C320"/>
    <hyperlink r:id="rId625" ref="B321"/>
    <hyperlink r:id="rId626" ref="C321"/>
    <hyperlink r:id="rId627" ref="B322"/>
    <hyperlink r:id="rId628" ref="C322"/>
    <hyperlink r:id="rId629" ref="B323"/>
    <hyperlink r:id="rId630" ref="C323"/>
    <hyperlink r:id="rId631" ref="B324"/>
    <hyperlink r:id="rId632" ref="C324"/>
    <hyperlink r:id="rId633" ref="B325"/>
    <hyperlink r:id="rId634" ref="C325"/>
    <hyperlink r:id="rId635" ref="B326"/>
    <hyperlink r:id="rId636" ref="C326"/>
    <hyperlink r:id="rId637" ref="B327"/>
    <hyperlink r:id="rId638" ref="C327"/>
    <hyperlink r:id="rId639" ref="B328"/>
    <hyperlink r:id="rId640" ref="C328"/>
    <hyperlink r:id="rId641" ref="B329"/>
    <hyperlink r:id="rId642" ref="C329"/>
    <hyperlink r:id="rId643" ref="B330"/>
    <hyperlink r:id="rId644" ref="C330"/>
    <hyperlink r:id="rId645" ref="B332"/>
    <hyperlink r:id="rId646" ref="C332"/>
    <hyperlink r:id="rId647" ref="B333"/>
    <hyperlink r:id="rId648" ref="C333"/>
    <hyperlink r:id="rId649" ref="B334"/>
    <hyperlink r:id="rId650" ref="C334"/>
    <hyperlink r:id="rId651" ref="B335"/>
    <hyperlink r:id="rId652" ref="C335"/>
    <hyperlink r:id="rId653" ref="B336"/>
    <hyperlink r:id="rId654" ref="C336"/>
    <hyperlink r:id="rId655" ref="B337"/>
    <hyperlink r:id="rId656" ref="C337"/>
    <hyperlink r:id="rId657" ref="B338"/>
    <hyperlink r:id="rId658" ref="C338"/>
    <hyperlink r:id="rId659" ref="B339"/>
    <hyperlink r:id="rId660" ref="C339"/>
    <hyperlink r:id="rId661" ref="B340"/>
    <hyperlink r:id="rId662" ref="C340"/>
    <hyperlink r:id="rId663" ref="B341"/>
    <hyperlink r:id="rId664" ref="C341"/>
    <hyperlink r:id="rId665" ref="B342"/>
    <hyperlink r:id="rId666" ref="C342"/>
    <hyperlink r:id="rId667" ref="B343"/>
    <hyperlink r:id="rId668" ref="C343"/>
    <hyperlink r:id="rId669" ref="B344"/>
    <hyperlink r:id="rId670" ref="C344"/>
    <hyperlink r:id="rId671" ref="B345"/>
    <hyperlink r:id="rId672" ref="C345"/>
    <hyperlink r:id="rId673" ref="B346"/>
    <hyperlink r:id="rId674" ref="C346"/>
    <hyperlink r:id="rId675" ref="B347"/>
    <hyperlink r:id="rId676" ref="C347"/>
    <hyperlink r:id="rId677" ref="B348"/>
    <hyperlink r:id="rId678" ref="C348"/>
    <hyperlink r:id="rId679" ref="B349"/>
    <hyperlink r:id="rId680" ref="C349"/>
    <hyperlink r:id="rId681" ref="B350"/>
    <hyperlink r:id="rId682" ref="C350"/>
    <hyperlink r:id="rId683" ref="B351"/>
    <hyperlink r:id="rId684" ref="C351"/>
    <hyperlink r:id="rId685" ref="B352"/>
    <hyperlink r:id="rId686" ref="C352"/>
    <hyperlink r:id="rId687" ref="B353"/>
    <hyperlink r:id="rId688" ref="C353"/>
    <hyperlink r:id="rId689" ref="B354"/>
    <hyperlink r:id="rId690" ref="C354"/>
    <hyperlink r:id="rId691" ref="B355"/>
    <hyperlink r:id="rId692" ref="C355"/>
    <hyperlink r:id="rId693" ref="B356"/>
    <hyperlink r:id="rId694" ref="C356"/>
    <hyperlink r:id="rId695" ref="B357"/>
    <hyperlink r:id="rId696" ref="C357"/>
    <hyperlink r:id="rId697" ref="B358"/>
    <hyperlink r:id="rId698" ref="C358"/>
    <hyperlink r:id="rId699" ref="B359"/>
    <hyperlink r:id="rId700" ref="C359"/>
    <hyperlink r:id="rId701" ref="B360"/>
    <hyperlink r:id="rId702" ref="C360"/>
    <hyperlink r:id="rId703" ref="B361"/>
    <hyperlink r:id="rId704" ref="C361"/>
    <hyperlink r:id="rId705" ref="B362"/>
    <hyperlink r:id="rId706" ref="C362"/>
    <hyperlink r:id="rId707" ref="B363"/>
    <hyperlink r:id="rId708" ref="C363"/>
    <hyperlink r:id="rId709" ref="B364"/>
    <hyperlink r:id="rId710" ref="C364"/>
    <hyperlink r:id="rId711" ref="B365"/>
    <hyperlink r:id="rId712" ref="C365"/>
  </hyperlinks>
  <drawing r:id="rId713"/>
</worksheet>
</file>